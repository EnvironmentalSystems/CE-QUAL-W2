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filterPrivacy="1" codeName="ThisWorkbook" defaultThemeVersion="124226"/>
  <xr:revisionPtr revIDLastSave="0" documentId="13_ncr:1_{D0D261C8-37B8-40CC-B1B9-0333F8F21BDC}" xr6:coauthVersionLast="47" xr6:coauthVersionMax="47" xr10:uidLastSave="{00000000-0000-0000-0000-000000000000}"/>
  <bookViews>
    <workbookView xWindow="51810" yWindow="190" windowWidth="23340" windowHeight="20720" xr2:uid="{00000000-000D-0000-FFFF-FFFF00000000}"/>
  </bookViews>
  <sheets>
    <sheet name="Index of Sheets" sheetId="16" r:id="rId1"/>
    <sheet name="w2_con.csv" sheetId="4" r:id="rId2"/>
    <sheet name="Required Constituent Order" sheetId="6" r:id="rId3"/>
    <sheet name="w2_habitat.npt" sheetId="8" r:id="rId4"/>
    <sheet name="w2_aerate.npt" sheetId="9" r:id="rId5"/>
    <sheet name="w2_envirprf.npt" sheetId="10" r:id="rId6"/>
    <sheet name="w2_selective.npt" sheetId="11" r:id="rId7"/>
    <sheet name="w2_constriction.csv" sheetId="12" r:id="rId8"/>
    <sheet name="w2_particle.csv" sheetId="13" r:id="rId9"/>
    <sheet name="w2_diagenesis.npt" sheetId="21" r:id="rId10"/>
    <sheet name="w2_multiple_WB.npt" sheetId="14" r:id="rId11"/>
    <sheet name="w2_tecplotbr.csv" sheetId="17" r:id="rId12"/>
    <sheet name="w2_systdg.npt" sheetId="15" r:id="rId13"/>
    <sheet name="w2_TDGTarget.csv" sheetId="22" r:id="rId14"/>
    <sheet name="atm_deposition_wb1.csv" sheetId="7" r:id="rId15"/>
    <sheet name="w2_lake_river_contour.csv" sheetId="18" r:id="rId16"/>
    <sheet name="w2_AlgaeMigration.csv" sheetId="19" r:id="rId17"/>
    <sheet name="w2_Algae_Toxin.csv" sheetId="20" r:id="rId18"/>
  </sheets>
  <externalReferences>
    <externalReference r:id="rId19"/>
  </externalReference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8" i="6" l="1"/>
  <c r="H65" i="6"/>
  <c r="G65" i="6"/>
  <c r="F65" i="6"/>
  <c r="E65" i="6"/>
  <c r="D65" i="6"/>
  <c r="C65" i="6"/>
  <c r="B65" i="6"/>
  <c r="B56" i="6"/>
  <c r="B400" i="4"/>
  <c r="A415" i="4" l="1"/>
  <c r="D28" i="4"/>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38" i="4"/>
  <c r="A35" i="4" s="1"/>
  <c r="A786" i="4"/>
  <c r="A36" i="4" l="1"/>
  <c r="C28" i="4" l="1"/>
  <c r="I7" i="7"/>
  <c r="A414" i="4" l="1"/>
  <c r="L13" i="10" l="1"/>
</calcChain>
</file>

<file path=xl/sharedStrings.xml><?xml version="1.0" encoding="utf-8"?>
<sst xmlns="http://schemas.openxmlformats.org/spreadsheetml/2006/main" count="3918" uniqueCount="2233">
  <si>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</si>
  <si>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</si>
  <si>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</si>
  <si>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</si>
  <si>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</si>
  <si>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</si>
  <si>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</si>
  <si>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</si>
  <si>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</si>
  <si>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</si>
  <si>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</si>
  <si>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</si>
  <si>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</si>
  <si>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</si>
  <si>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</si>
  <si>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</si>
  <si>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</si>
  <si>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</si>
  <si>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</si>
  <si>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</si>
  <si>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</si>
  <si>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</si>
  <si>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</si>
  <si>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</si>
  <si>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</si>
  <si>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</si>
  <si>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</si>
  <si>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</si>
  <si>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</si>
  <si>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</si>
  <si>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</si>
  <si>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</si>
  <si>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</si>
  <si>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</si>
  <si>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</si>
  <si>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</si>
  <si>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</si>
  <si>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</si>
  <si>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</si>
  <si>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</si>
  <si>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</si>
  <si>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</si>
  <si>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</si>
  <si>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</si>
  <si>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</si>
  <si>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</si>
  <si>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</si>
  <si>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</si>
  <si>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</si>
  <si>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</si>
  <si>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</si>
  <si>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</si>
  <si>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</si>
  <si>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</si>
  <si>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</si>
  <si>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</si>
  <si>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</si>
  <si>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</si>
  <si>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</si>
  <si>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</si>
  <si>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</si>
  <si>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</si>
  <si>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</si>
  <si>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</si>
  <si>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</si>
  <si>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</si>
  <si>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</si>
  <si>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</si>
  <si>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</si>
  <si>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</si>
  <si>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</si>
  <si>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</si>
  <si>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</si>
  <si>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</si>
  <si>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</si>
  <si>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</si>
  <si>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</si>
  <si>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</si>
  <si>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</si>
  <si>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</si>
  <si>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</si>
  <si>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</si>
  <si>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</si>
  <si>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</si>
  <si>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</si>
  <si>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</si>
  <si>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</si>
  <si>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</si>
  <si>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</si>
  <si>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</si>
  <si>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</si>
  <si>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</si>
  <si>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</si>
  <si>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</si>
  <si>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</si>
  <si>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</si>
  <si>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WB1</t>
  </si>
  <si>
    <t>PIPE1</t>
  </si>
  <si>
    <t>GATE2</t>
  </si>
  <si>
    <t>GATE4</t>
  </si>
  <si>
    <t>GATE5</t>
  </si>
  <si>
    <t>GATE6</t>
  </si>
  <si>
    <t>GATE7</t>
  </si>
  <si>
    <t>GATE8</t>
  </si>
  <si>
    <t>GATE9</t>
  </si>
  <si>
    <t>GATE10</t>
  </si>
  <si>
    <t>GATE1</t>
  </si>
  <si>
    <t>FMTH</t>
  </si>
  <si>
    <t>HMULT</t>
  </si>
  <si>
    <t>(F10.3)</t>
  </si>
  <si>
    <t>FMTCD</t>
  </si>
  <si>
    <t>CDMULT</t>
  </si>
  <si>
    <t>HNAME</t>
  </si>
  <si>
    <t>CDWBC1</t>
  </si>
  <si>
    <t>CDNAME</t>
  </si>
  <si>
    <t>EXA1</t>
  </si>
  <si>
    <t>EXZ1</t>
  </si>
  <si>
    <t>EXM1</t>
  </si>
  <si>
    <t>SS1</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</si>
  <si>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</si>
  <si>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</si>
  <si>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</si>
  <si>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</si>
  <si>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</si>
  <si>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</si>
  <si>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</si>
  <si>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</si>
  <si>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</si>
  <si>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</si>
  <si>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</si>
  <si>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</si>
  <si>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</si>
  <si>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</si>
  <si>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</si>
  <si>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</si>
  <si>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QINFN branch inflow</t>
  </si>
  <si>
    <t>TINFN branch temp inflow</t>
  </si>
  <si>
    <t>CINFN branch conc inflow</t>
  </si>
  <si>
    <t>QOTFN branch structure outflow</t>
  </si>
  <si>
    <t>REAERATION</t>
  </si>
  <si>
    <t>ALGAL RATES</t>
  </si>
  <si>
    <t>MacGroup1</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</si>
  <si>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</si>
  <si>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</si>
  <si>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</si>
  <si>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</si>
  <si>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</si>
  <si>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</si>
  <si>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</si>
  <si>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</si>
  <si>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</si>
  <si>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</si>
  <si>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</si>
  <si>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</si>
  <si>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</si>
  <si>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</si>
  <si>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</si>
  <si>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</si>
  <si>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INTERNAL WEIRS</t>
  </si>
  <si>
    <t>IW1</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</si>
  <si>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</si>
  <si>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</si>
  <si>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</si>
  <si>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</si>
  <si>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</si>
  <si>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</si>
  <si>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</si>
  <si>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</si>
  <si>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</si>
  <si>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</si>
  <si>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</si>
  <si>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</si>
  <si>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</si>
  <si>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</si>
  <si>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</si>
  <si>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</si>
  <si>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</si>
  <si>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</si>
  <si>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</si>
  <si>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</si>
  <si>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</si>
  <si>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</si>
  <si>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</si>
  <si>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</si>
  <si>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</si>
  <si>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</si>
  <si>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</si>
  <si>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</si>
  <si>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</si>
  <si>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</si>
  <si>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</si>
  <si>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</si>
  <si>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</si>
  <si>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</si>
  <si>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</si>
  <si>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</si>
  <si>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</si>
  <si>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</si>
  <si>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</si>
  <si>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</si>
  <si>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</si>
  <si>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</si>
  <si>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</si>
  <si>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</si>
  <si>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</si>
  <si>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</si>
  <si>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</si>
  <si>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</si>
  <si>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</si>
  <si>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</si>
  <si>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</si>
  <si>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</si>
  <si>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</si>
  <si>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</si>
  <si>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</si>
  <si>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</si>
  <si>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</si>
  <si>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</si>
  <si>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</si>
  <si>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</si>
  <si>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</si>
  <si>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</si>
  <si>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</si>
  <si>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</si>
  <si>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</si>
  <si>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</si>
  <si>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</si>
  <si>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</si>
  <si>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</si>
  <si>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</si>
  <si>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</si>
  <si>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</si>
  <si>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</si>
  <si>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</si>
  <si>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</si>
  <si>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</si>
  <si>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</si>
  <si>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</si>
  <si>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</si>
  <si>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</si>
  <si>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</si>
  <si>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</si>
  <si>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</si>
  <si>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</si>
  <si>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</si>
  <si>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</si>
  <si>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</si>
  <si>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</si>
  <si>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</si>
  <si>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</si>
  <si>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</si>
  <si>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</si>
  <si>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</si>
  <si>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</si>
  <si>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</si>
  <si>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</si>
  <si>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</si>
  <si>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</si>
  <si>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</si>
  <si>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</si>
  <si>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</si>
  <si>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</si>
  <si>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</si>
  <si>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</si>
  <si>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</si>
  <si>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</si>
  <si>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</si>
  <si>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</si>
  <si>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</si>
  <si>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</si>
  <si>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</si>
  <si>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</si>
  <si>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</si>
  <si>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</si>
  <si>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</si>
  <si>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</si>
  <si>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</si>
  <si>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</si>
  <si>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</si>
  <si>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</si>
  <si>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</si>
  <si>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</si>
  <si>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</si>
  <si>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</si>
  <si>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</si>
  <si>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</si>
  <si>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</si>
  <si>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</si>
  <si>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</si>
  <si>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</si>
  <si>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</si>
  <si>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</si>
  <si>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</si>
  <si>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</si>
  <si>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</si>
  <si>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</si>
  <si>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</si>
  <si>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</si>
  <si>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</si>
  <si>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</si>
  <si>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</si>
  <si>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</si>
  <si>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</si>
  <si>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</si>
  <si>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</si>
  <si>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</si>
  <si>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</si>
  <si>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</si>
  <si>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</si>
  <si>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</si>
  <si>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</si>
  <si>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</si>
  <si>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</si>
  <si>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</si>
  <si>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</si>
  <si>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</si>
  <si>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</si>
  <si>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</si>
  <si>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</si>
  <si>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</si>
  <si>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</si>
  <si>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</si>
  <si>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</si>
  <si>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</si>
  <si>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</si>
  <si>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</si>
  <si>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</si>
  <si>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</si>
  <si>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</si>
  <si>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</si>
  <si>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</si>
  <si>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</si>
  <si>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</si>
  <si>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</si>
  <si>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</si>
  <si>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</si>
  <si>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</si>
  <si>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</si>
  <si>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</si>
  <si>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</si>
  <si>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</si>
  <si>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</si>
  <si>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</si>
  <si>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</si>
  <si>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</si>
  <si>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</si>
  <si>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</si>
  <si>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</si>
  <si>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</si>
  <si>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</si>
  <si>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</si>
  <si>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</si>
  <si>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</si>
  <si>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</si>
  <si>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</si>
  <si>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</si>
  <si>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</si>
  <si>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</si>
  <si>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</si>
  <si>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</si>
  <si>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</si>
  <si>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</si>
  <si>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</si>
  <si>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</si>
  <si>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</si>
  <si>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</si>
  <si>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</si>
  <si>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</si>
  <si>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</si>
  <si>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</si>
  <si>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</si>
  <si>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</si>
  <si>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</si>
  <si>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</si>
  <si>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</si>
  <si>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</si>
  <si>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</si>
  <si>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</si>
  <si>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</si>
  <si>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</si>
  <si>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</si>
  <si>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</si>
  <si>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</si>
  <si>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</si>
  <si>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</si>
  <si>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</si>
  <si>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</si>
  <si>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</si>
  <si>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</si>
  <si>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</si>
  <si>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</si>
  <si>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</si>
  <si>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</si>
  <si>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</si>
  <si>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</si>
  <si>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</si>
  <si>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</si>
  <si>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</si>
  <si>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</si>
  <si>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</si>
  <si>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</si>
  <si>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</si>
  <si>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</si>
  <si>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</si>
  <si>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</si>
  <si>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</si>
  <si>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</si>
  <si>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</si>
  <si>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</si>
  <si>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</si>
  <si>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</si>
  <si>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</si>
  <si>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</si>
  <si>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</si>
  <si>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</si>
  <si>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</si>
  <si>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</si>
  <si>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</si>
  <si>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</si>
  <si>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</si>
  <si>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</si>
  <si>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</si>
  <si>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</si>
  <si>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</si>
  <si>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</si>
  <si>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</si>
  <si>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</si>
  <si>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</si>
  <si>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</si>
  <si>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</si>
  <si>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</si>
  <si>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</si>
  <si>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</si>
  <si>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</si>
  <si>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</si>
  <si>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</si>
  <si>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</si>
  <si>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</si>
  <si>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</si>
  <si>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</si>
  <si>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</si>
  <si>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</si>
  <si>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</si>
  <si>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</si>
  <si>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</si>
  <si>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</si>
  <si>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</si>
  <si>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</si>
  <si>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</si>
  <si>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</si>
  <si>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</si>
  <si>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</si>
  <si>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</si>
  <si>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</si>
  <si>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</si>
  <si>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</si>
  <si>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</si>
  <si>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</si>
  <si>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</si>
  <si>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</si>
  <si>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</si>
  <si>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</si>
  <si>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</si>
  <si>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</si>
  <si>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</si>
  <si>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</si>
  <si>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</si>
  <si>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</si>
  <si>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</si>
  <si>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</si>
  <si>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</si>
  <si>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</si>
  <si>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</si>
  <si>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</si>
  <si>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</si>
  <si>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</si>
  <si>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</si>
  <si>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</si>
  <si>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</si>
  <si>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</si>
  <si>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</si>
  <si>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</si>
  <si>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</si>
  <si>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</si>
  <si>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</si>
  <si>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</si>
  <si>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</si>
  <si>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</si>
  <si>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</si>
  <si>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</si>
  <si>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</si>
  <si>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</si>
  <si>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</si>
  <si>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</si>
  <si>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</si>
  <si>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</si>
  <si>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</si>
  <si>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</si>
  <si>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</si>
  <si>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</si>
  <si>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</si>
  <si>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</si>
  <si>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</si>
  <si>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</si>
  <si>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</si>
  <si>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</si>
  <si>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</si>
  <si>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</si>
  <si>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</si>
  <si>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</si>
  <si>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</si>
  <si>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</si>
  <si>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</si>
  <si>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</si>
  <si>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</si>
  <si>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</si>
  <si>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</si>
  <si>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</si>
  <si>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</si>
  <si>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</si>
  <si>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</si>
  <si>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</si>
  <si>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</si>
  <si>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</si>
  <si>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</si>
  <si>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</si>
  <si>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</si>
  <si>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</si>
  <si>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</si>
  <si>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</si>
  <si>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</si>
  <si>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</si>
  <si>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</si>
  <si>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</si>
  <si>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</si>
  <si>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</si>
  <si>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</si>
  <si>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</si>
  <si>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</si>
  <si>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</si>
  <si>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</si>
  <si>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</si>
  <si>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</si>
  <si>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</si>
  <si>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</si>
  <si>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</si>
  <si>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</si>
  <si>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</si>
  <si>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</si>
  <si>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</si>
  <si>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</si>
  <si>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</si>
  <si>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</si>
  <si>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</si>
  <si>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</si>
  <si>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</si>
  <si>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</si>
  <si>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</si>
  <si>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</si>
  <si>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</si>
  <si>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</si>
  <si>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</si>
  <si>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</si>
  <si>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</si>
  <si>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</si>
  <si>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</si>
  <si>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</si>
  <si>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</si>
  <si>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</si>
  <si>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</si>
  <si>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</si>
  <si>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</si>
  <si>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</si>
  <si>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</si>
  <si>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</si>
  <si>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</si>
  <si>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</si>
  <si>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</si>
  <si>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</si>
  <si>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</si>
  <si>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</si>
  <si>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</si>
  <si>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</si>
  <si>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</si>
  <si>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</si>
  <si>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</si>
  <si>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</si>
  <si>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</si>
  <si>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</si>
  <si>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</si>
  <si>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</si>
  <si>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</si>
  <si>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</si>
  <si>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</si>
  <si>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</si>
  <si>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</si>
  <si>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</si>
  <si>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</si>
  <si>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</si>
  <si>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</si>
  <si>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</si>
  <si>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</si>
  <si>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</si>
  <si>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</si>
  <si>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</si>
  <si>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</si>
  <si>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</si>
  <si>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</si>
  <si>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</si>
  <si>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</si>
  <si>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</si>
  <si>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</si>
  <si>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</si>
  <si>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</si>
  <si>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</si>
  <si>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</si>
  <si>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</si>
  <si>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</si>
  <si>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</si>
  <si>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</si>
  <si>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</si>
  <si>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</si>
  <si>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</si>
  <si>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</si>
  <si>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</si>
  <si>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</si>
  <si>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</si>
  <si>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</si>
  <si>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</si>
  <si>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</si>
  <si>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</si>
  <si>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</si>
  <si>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</si>
  <si>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</si>
  <si>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</si>
  <si>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</si>
  <si>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</si>
  <si>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</si>
  <si>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</si>
  <si>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</si>
  <si>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</si>
  <si>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</si>
  <si>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</si>
  <si>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</si>
  <si>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</si>
  <si>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</si>
  <si>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</si>
  <si>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</si>
  <si>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</si>
  <si>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</si>
  <si>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</si>
  <si>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</si>
  <si>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</si>
  <si>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</si>
  <si>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</si>
  <si>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</si>
  <si>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</si>
  <si>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</si>
  <si>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</si>
  <si>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</si>
  <si>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</si>
  <si>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</si>
  <si>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</si>
  <si>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</si>
  <si>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</si>
  <si>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</si>
  <si>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</si>
  <si>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</si>
  <si>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</si>
  <si>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</si>
  <si>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</si>
  <si>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</si>
  <si>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</si>
  <si>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</si>
  <si>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</si>
  <si>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</si>
  <si>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</si>
  <si>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</si>
  <si>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</si>
  <si>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</si>
  <si>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</si>
  <si>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</si>
  <si>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</si>
  <si>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</si>
  <si>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</si>
  <si>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</si>
  <si>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</si>
  <si>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</si>
  <si>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</si>
  <si>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</si>
  <si>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</si>
  <si>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</si>
  <si>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</si>
  <si>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</si>
  <si>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</si>
  <si>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</si>
  <si>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</si>
  <si>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</si>
  <si>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</si>
  <si>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</si>
  <si>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</si>
  <si>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</si>
  <si>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</si>
  <si>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</si>
  <si>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</si>
  <si>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</si>
  <si>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</si>
  <si>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</si>
  <si>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</si>
  <si>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COEF1 User defined parameter</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</si>
  <si>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</si>
  <si>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</si>
  <si>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</si>
  <si>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</si>
  <si>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</si>
  <si>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</si>
  <si>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</si>
  <si>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</si>
  <si>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</si>
  <si>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</si>
  <si>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</si>
  <si>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</si>
  <si>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</si>
  <si>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</si>
  <si>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</si>
  <si>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</si>
  <si>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</si>
  <si>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</si>
  <si>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</si>
  <si>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</si>
  <si>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</si>
  <si>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</si>
  <si>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</si>
  <si>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</si>
  <si>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</si>
  <si>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</si>
  <si>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</si>
  <si>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</si>
  <si>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</si>
  <si>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</si>
  <si>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</si>
  <si>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</si>
  <si>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</si>
  <si>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</si>
  <si>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</si>
  <si>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</si>
  <si>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</si>
  <si>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</si>
  <si>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</si>
  <si>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</si>
  <si>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</si>
  <si>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</si>
  <si>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</si>
  <si>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</si>
  <si>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</si>
  <si>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</si>
  <si>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</si>
  <si>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</si>
  <si>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</si>
  <si>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</si>
  <si>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</si>
  <si>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</si>
  <si>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</si>
  <si>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</si>
  <si>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</si>
  <si>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</si>
  <si>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</si>
  <si>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</si>
  <si>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</si>
  <si>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</si>
  <si>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</si>
  <si>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</si>
  <si>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</si>
  <si>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</si>
  <si>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</si>
  <si>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</si>
  <si>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</si>
  <si>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</si>
  <si>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</si>
  <si>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</si>
  <si>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</si>
  <si>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</si>
  <si>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</si>
  <si>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</si>
  <si>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</si>
  <si>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</si>
  <si>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</si>
  <si>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</si>
  <si>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</si>
  <si>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</si>
  <si>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</si>
  <si>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</si>
  <si>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</si>
  <si>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</si>
  <si>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</si>
  <si>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</si>
  <si>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</si>
  <si>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</si>
  <si>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</si>
  <si>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</si>
  <si>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</si>
  <si>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</si>
  <si>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</si>
  <si>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</si>
  <si>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</si>
  <si>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</si>
  <si>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</si>
  <si>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</si>
  <si>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</si>
  <si>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</si>
  <si>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</si>
  <si>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</si>
  <si>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</si>
  <si>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</si>
  <si>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</si>
  <si>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</si>
  <si>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</si>
  <si>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</si>
  <si>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</si>
  <si>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</si>
  <si>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</si>
  <si>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</si>
  <si>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</si>
  <si>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</si>
  <si>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</si>
  <si>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</si>
  <si>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</si>
  <si>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</si>
  <si>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</si>
  <si>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</si>
  <si>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</si>
  <si>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</si>
  <si>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</si>
  <si>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</si>
  <si>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</si>
  <si>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</si>
  <si>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</si>
  <si>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</si>
  <si>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</si>
  <si>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</si>
  <si>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</si>
  <si>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</si>
  <si>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</si>
  <si>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</si>
  <si>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</si>
  <si>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</si>
  <si>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</si>
  <si>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</si>
  <si>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</si>
  <si>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</si>
  <si>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</si>
  <si>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</si>
  <si>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</si>
  <si>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</si>
  <si>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</si>
  <si>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</si>
  <si>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</si>
  <si>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</si>
  <si>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</si>
  <si>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</si>
  <si>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</si>
  <si>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</si>
  <si>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</si>
  <si>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</si>
  <si>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</si>
  <si>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</si>
  <si>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</si>
  <si>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</si>
  <si>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</si>
  <si>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</si>
  <si>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</si>
  <si>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</si>
  <si>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</si>
  <si>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</si>
  <si>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</si>
  <si>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</si>
  <si>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</si>
  <si>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</si>
  <si>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</si>
  <si>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</si>
  <si>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</si>
  <si>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</si>
  <si>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</si>
  <si>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</si>
  <si>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</si>
  <si>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</si>
  <si>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</si>
  <si>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</si>
  <si>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</si>
  <si>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 of total constituents=# required + NGC+NAL+NZP+3NBOD+NSS</t>
  </si>
  <si>
    <t>For this control file, the number of constituents would be (reading from the prior page)</t>
  </si>
  <si>
    <t>If less than 5 groups - leave blank</t>
  </si>
  <si>
    <t>Increase # of rows if &gt; 5 Periphyton groups</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</si>
  <si>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</si>
  <si>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</si>
  <si>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</si>
  <si>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</si>
  <si>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</si>
  <si>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</si>
  <si>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Make sure to press the button on the top left hand side to output the csv file - it is in COLUMN B!</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</si>
  <si>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</si>
  <si>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</si>
  <si>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</si>
  <si>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</si>
  <si>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</si>
  <si>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</si>
  <si>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</si>
  <si>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</si>
  <si>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</si>
  <si>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</si>
  <si>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</si>
  <si>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</si>
  <si>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</si>
  <si>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</si>
  <si>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</si>
  <si>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</si>
  <si>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</si>
  <si>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</si>
  <si>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</si>
  <si>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</si>
  <si>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</si>
  <si>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</si>
  <si>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</si>
  <si>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</si>
  <si>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</si>
  <si>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</si>
  <si>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</si>
  <si>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</si>
  <si>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</si>
  <si>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</si>
  <si>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</si>
  <si>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</si>
  <si>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</si>
  <si>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</si>
  <si>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</si>
  <si>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</si>
  <si>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</si>
  <si>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</si>
  <si>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</si>
  <si>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</si>
  <si>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</si>
  <si>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</si>
  <si>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</si>
  <si>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</si>
  <si>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</si>
  <si>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TKE     </t>
  </si>
  <si>
    <t xml:space="preserve">IMP     </t>
  </si>
  <si>
    <t>GTE3</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</si>
  <si>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</si>
  <si>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</si>
  <si>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</si>
  <si>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</si>
  <si>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</si>
  <si>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</si>
  <si>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</si>
  <si>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</si>
  <si>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</si>
  <si>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</si>
  <si>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</si>
  <si>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</si>
  <si>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</si>
  <si>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</si>
  <si>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</si>
  <si>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</si>
  <si>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</si>
  <si>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</si>
  <si>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</si>
  <si>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</si>
  <si>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</si>
  <si>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</si>
  <si>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</si>
  <si>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</si>
  <si>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</si>
  <si>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</si>
  <si>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</si>
  <si>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</si>
  <si>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</si>
  <si>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</si>
  <si>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</si>
  <si>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</si>
  <si>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</si>
  <si>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</si>
  <si>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</si>
  <si>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</si>
  <si>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</si>
  <si>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</si>
  <si>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</si>
  <si>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</si>
  <si>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</si>
  <si>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</si>
  <si>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</si>
  <si>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</si>
  <si>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</si>
  <si>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</si>
  <si>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</si>
  <si>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</si>
  <si>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</si>
  <si>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</si>
  <si>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</si>
  <si>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</si>
  <si>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</si>
  <si>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</si>
  <si>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</si>
  <si>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</si>
  <si>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</si>
  <si>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</si>
  <si>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</si>
  <si>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</si>
  <si>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</si>
  <si>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</si>
  <si>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</si>
  <si>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</si>
  <si>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</si>
  <si>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</si>
  <si>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</si>
  <si>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</si>
  <si>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</si>
  <si>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</si>
  <si>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</si>
  <si>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</si>
  <si>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</si>
  <si>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</si>
  <si>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</si>
  <si>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</si>
  <si>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</si>
  <si>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</si>
  <si>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</si>
  <si>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</si>
  <si>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</si>
  <si>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</si>
  <si>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</si>
  <si>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</si>
  <si>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</si>
  <si>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</si>
  <si>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</si>
  <si>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</si>
  <si>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</si>
  <si>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</si>
  <si>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</si>
  <si>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</si>
  <si>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</si>
  <si>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</si>
  <si>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</si>
  <si>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</si>
  <si>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</si>
  <si>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</si>
  <si>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</si>
  <si>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</si>
  <si>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</si>
  <si>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</si>
  <si>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</si>
  <si>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</si>
  <si>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</si>
  <si>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</si>
  <si>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</si>
  <si>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</si>
  <si>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</si>
  <si>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</si>
  <si>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</si>
  <si>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</si>
  <si>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</si>
  <si>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</si>
  <si>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</si>
  <si>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</si>
  <si>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</si>
  <si>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</si>
  <si>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</si>
  <si>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</si>
  <si>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</si>
  <si>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</si>
  <si>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</si>
  <si>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</si>
  <si>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</si>
  <si>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</si>
  <si>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</si>
  <si>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</si>
  <si>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</si>
  <si>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</si>
  <si>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</si>
  <si>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</si>
  <si>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</si>
  <si>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</si>
  <si>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</si>
  <si>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</si>
  <si>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</si>
  <si>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</si>
  <si>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</si>
  <si>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</si>
  <si>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CG1</t>
  </si>
  <si>
    <t>EP1</t>
  </si>
  <si>
    <t>O2LIMIT</t>
  </si>
  <si>
    <t xml:space="preserve">LAKE    </t>
  </si>
  <si>
    <t>FILE NAMES</t>
  </si>
  <si>
    <t>CTRTRC1 Tributary constituent for Trib 1</t>
  </si>
  <si>
    <t xml:space="preserve"> CDTBRC1 Distributed constituent for Branch 1</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</si>
  <si>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</si>
  <si>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</si>
  <si>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</si>
  <si>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</si>
  <si>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</si>
  <si>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</si>
  <si>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</si>
  <si>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</si>
  <si>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</si>
  <si>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</si>
  <si>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</si>
  <si>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</si>
  <si>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</si>
  <si>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</si>
  <si>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</si>
  <si>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</si>
  <si>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</si>
  <si>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</si>
  <si>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</si>
  <si>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</si>
  <si>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</si>
  <si>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</si>
  <si>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</si>
  <si>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</si>
  <si>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</si>
  <si>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</si>
  <si>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</si>
  <si>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</si>
  <si>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</si>
  <si>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</si>
  <si>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</si>
  <si>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</si>
  <si>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</si>
  <si>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</si>
  <si>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</si>
  <si>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</si>
  <si>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</si>
  <si>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</si>
  <si>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</si>
  <si>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</si>
  <si>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</si>
  <si>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</si>
  <si>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</si>
  <si>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</si>
  <si>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</si>
  <si>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</si>
  <si>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  (f10.3)</t>
  </si>
  <si>
    <t xml:space="preserve">  (F10.3)</t>
  </si>
  <si>
    <t xml:space="preserve">qwd.npt - not used                                                      </t>
  </si>
  <si>
    <t xml:space="preserve">vpr.npt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</si>
  <si>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</si>
  <si>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</si>
  <si>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</si>
  <si>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</si>
  <si>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</si>
  <si>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</si>
  <si>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</si>
  <si>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</si>
  <si>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</si>
  <si>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</si>
  <si>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</si>
  <si>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</si>
  <si>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</si>
  <si>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</si>
  <si>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</si>
  <si>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</si>
  <si>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</si>
  <si>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</si>
  <si>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</si>
  <si>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</si>
  <si>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</si>
  <si>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</si>
  <si>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</si>
  <si>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</si>
  <si>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</si>
  <si>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</si>
  <si>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</si>
  <si>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</si>
  <si>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</si>
  <si>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</si>
  <si>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</si>
  <si>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</si>
  <si>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</si>
  <si>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</si>
  <si>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</si>
  <si>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</si>
  <si>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</si>
  <si>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</si>
  <si>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</si>
  <si>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</si>
  <si>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</si>
  <si>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</si>
  <si>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</si>
  <si>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</si>
  <si>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</si>
  <si>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</si>
  <si>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</si>
  <si>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</si>
  <si>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</si>
  <si>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</si>
  <si>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</si>
  <si>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</si>
  <si>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</si>
  <si>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</si>
  <si>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</si>
  <si>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</si>
  <si>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ATMDEPFN atmospheric depositon file name</t>
  </si>
  <si>
    <t>atm_deposition_wb1.csv</t>
  </si>
  <si>
    <t xml:space="preserve">lpr.npt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</si>
  <si>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</si>
  <si>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</si>
  <si>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</si>
  <si>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</si>
  <si>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</si>
  <si>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</si>
  <si>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</si>
  <si>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</si>
  <si>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</si>
  <si>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</si>
  <si>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</si>
  <si>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</si>
  <si>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</si>
  <si>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</si>
  <si>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</si>
  <si>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</si>
  <si>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</si>
  <si>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</si>
  <si>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</si>
  <si>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</si>
  <si>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</si>
  <si>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</si>
  <si>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</si>
  <si>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</si>
  <si>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</si>
  <si>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</si>
  <si>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</si>
  <si>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</si>
  <si>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</si>
  <si>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</si>
  <si>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</si>
  <si>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</si>
  <si>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</si>
  <si>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</si>
  <si>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</si>
  <si>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</si>
  <si>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</si>
  <si>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</si>
  <si>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</si>
  <si>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</si>
  <si>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</si>
  <si>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</si>
  <si>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</si>
  <si>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</si>
  <si>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</si>
  <si>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</si>
  <si>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</si>
  <si>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</si>
  <si>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</si>
  <si>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</si>
  <si>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</si>
  <si>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</si>
  <si>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</si>
  <si>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</si>
  <si>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</si>
  <si>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</si>
  <si>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</si>
  <si>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</si>
  <si>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</si>
  <si>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</si>
  <si>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</si>
  <si>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</si>
  <si>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</si>
  <si>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</si>
  <si>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</si>
  <si>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</si>
  <si>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</si>
  <si>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</si>
  <si>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</si>
  <si>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</si>
  <si>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</si>
  <si>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</si>
  <si>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</si>
  <si>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</si>
  <si>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</si>
  <si>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</si>
  <si>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</si>
  <si>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</si>
  <si>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</si>
  <si>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</si>
  <si>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</si>
  <si>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</si>
  <si>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</si>
  <si>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</si>
  <si>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</si>
  <si>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ISTR</t>
  </si>
  <si>
    <t>IEND</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</si>
  <si>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</si>
  <si>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</si>
  <si>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</si>
  <si>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</si>
  <si>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</si>
  <si>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</si>
  <si>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</si>
  <si>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</si>
  <si>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</si>
  <si>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</si>
  <si>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</si>
  <si>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</si>
  <si>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</si>
  <si>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</si>
  <si>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</si>
  <si>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</si>
  <si>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</si>
  <si>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</si>
  <si>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</si>
  <si>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</si>
  <si>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</si>
  <si>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</si>
  <si>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</si>
  <si>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</si>
  <si>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</si>
  <si>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</si>
  <si>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</si>
  <si>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</si>
  <si>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</si>
  <si>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</si>
  <si>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</si>
  <si>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</si>
  <si>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</si>
  <si>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</si>
  <si>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</si>
  <si>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</si>
  <si>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</si>
  <si>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</si>
  <si>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</si>
  <si>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</si>
  <si>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</si>
  <si>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</si>
  <si>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</si>
  <si>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</si>
  <si>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</si>
  <si>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</si>
  <si>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</si>
  <si>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</si>
  <si>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</si>
  <si>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</si>
  <si>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</si>
  <si>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</si>
  <si>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</si>
  <si>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</si>
  <si>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</si>
  <si>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</si>
  <si>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</si>
  <si>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</si>
  <si>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</si>
  <si>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</si>
  <si>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</si>
  <si>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</si>
  <si>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</si>
  <si>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</si>
  <si>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</si>
  <si>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</si>
  <si>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</si>
  <si>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</si>
  <si>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</si>
  <si>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</si>
  <si>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</si>
  <si>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</si>
  <si>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</si>
  <si>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</si>
  <si>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</si>
  <si>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</si>
  <si>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</si>
  <si>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</si>
  <si>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</si>
  <si>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</si>
  <si>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</si>
  <si>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</si>
  <si>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</si>
  <si>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</si>
  <si>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</si>
  <si>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</si>
  <si>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</si>
  <si>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</si>
  <si>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</si>
  <si>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</si>
  <si>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</si>
  <si>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</si>
  <si>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</si>
  <si>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</si>
  <si>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</si>
  <si>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</si>
  <si>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</si>
  <si>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</si>
  <si>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</si>
  <si>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</si>
  <si>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</si>
  <si>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</si>
  <si>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</si>
  <si>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</si>
  <si>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</si>
  <si>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</si>
  <si>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</si>
  <si>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</si>
  <si>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</si>
  <si>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</si>
  <si>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</si>
  <si>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</si>
  <si>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TDGLOC is a character parameter (SPB/REL) to define TDG calculated for spillbay (SPB) or tailrace (REL)</t>
  </si>
  <si>
    <t>SYSTDGC</t>
  </si>
  <si>
    <t>SYSTDG</t>
  </si>
  <si>
    <t>N2BND</t>
  </si>
  <si>
    <t>DOBND</t>
  </si>
  <si>
    <t>TDGTA</t>
  </si>
  <si>
    <t>GATE</t>
  </si>
  <si>
    <t>GTTYPE</t>
  </si>
  <si>
    <t>SPBC</t>
  </si>
  <si>
    <t>SPB</t>
  </si>
  <si>
    <t>FBE</t>
  </si>
  <si>
    <t>TWCE</t>
  </si>
  <si>
    <t>TWEMOD</t>
  </si>
  <si>
    <t>TWE</t>
  </si>
  <si>
    <t>TWETS</t>
  </si>
  <si>
    <t>TDGLOC</t>
  </si>
  <si>
    <t>QSPILL</t>
  </si>
  <si>
    <t>TDGSPMN</t>
  </si>
  <si>
    <t>SPB1</t>
  </si>
  <si>
    <t>TDGEQ</t>
  </si>
  <si>
    <t>P1</t>
  </si>
  <si>
    <t>P2</t>
  </si>
  <si>
    <t>P3</t>
  </si>
  <si>
    <t>P4</t>
  </si>
  <si>
    <t>ENTEQ</t>
  </si>
  <si>
    <t>E1</t>
  </si>
  <si>
    <t>E2</t>
  </si>
  <si>
    <t>GATE ENT</t>
  </si>
  <si>
    <t>GATE TDG</t>
  </si>
  <si>
    <t>Comments written to output file</t>
  </si>
  <si>
    <t xml:space="preserve">Enclose in quotes </t>
  </si>
  <si>
    <t>GATE GAS</t>
  </si>
  <si>
    <t xml:space="preserve">Either add a '$' to first character on first line for csv format or let program discern that it is in csv format </t>
  </si>
  <si>
    <t>FLOW</t>
  </si>
  <si>
    <t>DISTR</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</si>
  <si>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</si>
  <si>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</si>
  <si>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</si>
  <si>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</si>
  <si>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</si>
  <si>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</si>
  <si>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</si>
  <si>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</si>
  <si>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</si>
  <si>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</si>
  <si>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</si>
  <si>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</si>
  <si>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</si>
  <si>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</si>
  <si>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</si>
  <si>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</si>
  <si>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</si>
  <si>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</si>
  <si>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</si>
  <si>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</si>
  <si>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</si>
  <si>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</si>
  <si>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</si>
  <si>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</si>
  <si>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</si>
  <si>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</si>
  <si>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</si>
  <si>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</si>
  <si>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</si>
  <si>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</si>
  <si>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</si>
  <si>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</si>
  <si>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</si>
  <si>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</si>
  <si>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</si>
  <si>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</si>
  <si>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</si>
  <si>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</si>
  <si>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</si>
  <si>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</si>
  <si>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</si>
  <si>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</si>
  <si>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</si>
  <si>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</si>
  <si>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</si>
  <si>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</si>
  <si>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</si>
  <si>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</si>
  <si>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</si>
  <si>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</si>
  <si>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</si>
  <si>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</si>
  <si>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</si>
  <si>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</si>
  <si>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</si>
  <si>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</si>
  <si>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FEIIR</t>
  </si>
  <si>
    <t>KFE_OXID</t>
  </si>
  <si>
    <t>KFE_RED</t>
  </si>
  <si>
    <t>KFEOOH_HalfSat</t>
  </si>
  <si>
    <t>FeSetVel</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</si>
  <si>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</si>
  <si>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</si>
  <si>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</si>
  <si>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</si>
  <si>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</si>
  <si>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</si>
  <si>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</si>
  <si>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</si>
  <si>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</si>
  <si>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</si>
  <si>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</si>
  <si>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</si>
  <si>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</si>
  <si>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</si>
  <si>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</si>
  <si>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</si>
  <si>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</si>
  <si>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</si>
  <si>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</si>
  <si>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</si>
  <si>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</si>
  <si>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</si>
  <si>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</si>
  <si>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</si>
  <si>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</si>
  <si>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</si>
  <si>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</si>
  <si>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</si>
  <si>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</si>
  <si>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</si>
  <si>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</si>
  <si>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</si>
  <si>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</si>
  <si>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ORGCC simulates the organic matter as C rather than organic matter</t>
  </si>
  <si>
    <t>TDG</t>
  </si>
  <si>
    <t>Turbidity</t>
  </si>
  <si>
    <t>"Turbidity, NTU"</t>
  </si>
  <si>
    <t>Computed from corrleation with SS</t>
  </si>
  <si>
    <t>Requires DGP being active</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</si>
  <si>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</si>
  <si>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</si>
  <si>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</si>
  <si>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</si>
  <si>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</si>
  <si>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</si>
  <si>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</si>
  <si>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</si>
  <si>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</si>
  <si>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</si>
  <si>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</si>
  <si>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</si>
  <si>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</si>
  <si>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</si>
  <si>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</si>
  <si>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</si>
  <si>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</si>
  <si>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</si>
  <si>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</si>
  <si>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</si>
  <si>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</si>
  <si>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NumAlgaeGroups# of algae groups that migrate,Debug Output(1-ON/0-OFF)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</si>
  <si>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</si>
  <si>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</si>
  <si>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</si>
  <si>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</si>
  <si>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</si>
  <si>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</si>
  <si>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</si>
  <si>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</si>
  <si>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</si>
  <si>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</si>
  <si>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</si>
  <si>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</si>
  <si>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</si>
  <si>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</si>
  <si>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</si>
  <si>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</si>
  <si>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</si>
  <si>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</si>
  <si>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</si>
  <si>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</si>
  <si>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</si>
  <si>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</si>
  <si>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</si>
  <si>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</si>
  <si>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</si>
  <si>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</si>
  <si>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</si>
  <si>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</si>
  <si>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</si>
  <si>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</si>
  <si>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</si>
  <si>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</si>
  <si>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</si>
  <si>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</si>
  <si>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</si>
  <si>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</si>
  <si>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</si>
  <si>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</si>
  <si>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</si>
  <si>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</si>
  <si>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</si>
  <si>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</si>
  <si>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</si>
  <si>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</si>
  <si>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</si>
  <si>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</si>
  <si>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</si>
  <si>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</si>
  <si>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</si>
  <si>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</si>
  <si>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</si>
  <si>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</si>
  <si>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</si>
  <si>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</si>
  <si>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</si>
  <si>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</si>
  <si>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</si>
  <si>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</si>
  <si>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</si>
  <si>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</si>
  <si>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</si>
  <si>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</si>
  <si>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</si>
  <si>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</si>
  <si>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</si>
  <si>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</si>
  <si>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TOXINS</t>
  </si>
  <si>
    <t>Toxin producer, ON or OFF</t>
  </si>
  <si>
    <t>Microcystin producer, ON or OFF</t>
  </si>
  <si>
    <t>Cylindrospermopsin producer, ON or OFF</t>
  </si>
  <si>
    <t>Anatoxin-a producer, ON or OFF</t>
  </si>
  <si>
    <t>Saxitoxin producer, ON or OFF</t>
  </si>
  <si>
    <t>MICROCYSTIN</t>
  </si>
  <si>
    <t>PC_MC, fraction of algae concentration producing MC</t>
  </si>
  <si>
    <t>B_MC, ratio of intracellular toxin to dry weight biomass (mg toxin/mg DW)</t>
  </si>
  <si>
    <t>KL_MC, leakage rate from cell</t>
  </si>
  <si>
    <t>KDI_MC, internal decay</t>
  </si>
  <si>
    <t>KA_MC, active release rate</t>
  </si>
  <si>
    <t>KDED_MC, extracellular decay during the day</t>
  </si>
  <si>
    <t>KDEN_MC, extracellular decay during the night</t>
  </si>
  <si>
    <t>CYLINDROSPERMOPSIN</t>
  </si>
  <si>
    <t>PC_CYN, Fraction of algae concentration producing CYN</t>
  </si>
  <si>
    <t>B_CYN, ratio of intracellular toxin to dry weight biomass (mg toxin/mg DW)</t>
  </si>
  <si>
    <t>KL_CYN, leakage rate from cell</t>
  </si>
  <si>
    <t>KDI_CYN, internal decay</t>
  </si>
  <si>
    <t>KA_CYN, active release rate</t>
  </si>
  <si>
    <t>KDED_CYN, extracellular decay during the day</t>
  </si>
  <si>
    <t>KDEN_CYN, extracellular decay during the night</t>
  </si>
  <si>
    <t>ANATOXIN-A</t>
  </si>
  <si>
    <t>PC_ATX, Fraction of algae concentration producing ATX</t>
  </si>
  <si>
    <t>B_ATX, ratio of intracellular toxin to dry weight biomass (mg toxin/mg DW)</t>
  </si>
  <si>
    <t>KL_ATX, leakage rate from cell</t>
  </si>
  <si>
    <t>KDI_ATX, internal decay</t>
  </si>
  <si>
    <t>KA_ATX, active release rate</t>
  </si>
  <si>
    <t>KDED_ATX, extracellular decay during the day</t>
  </si>
  <si>
    <t>KDEN_ATX, extracellular decay during the night</t>
  </si>
  <si>
    <t>SAXITOXIN</t>
  </si>
  <si>
    <t>PC_STX, Fraction of algae concentration producing STX</t>
  </si>
  <si>
    <t>B_STX, ratio of intracellular toxin to dry weight biomass (mg toxin/mg DW)</t>
  </si>
  <si>
    <t>KL_STX, leakage rate from cell</t>
  </si>
  <si>
    <t>KDI_STX, internal decay</t>
  </si>
  <si>
    <t>KA_STX, active release rate</t>
  </si>
  <si>
    <t>KDED_STX, extracellular decay during the day</t>
  </si>
  <si>
    <t>KDEN_STX, extracellular decay during the night</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</si>
  <si>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</si>
  <si>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</si>
  <si>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</si>
  <si>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</si>
  <si>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</si>
  <si>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</si>
  <si>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</si>
  <si>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</si>
  <si>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</si>
  <si>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</si>
  <si>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</si>
  <si>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</si>
  <si>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 xml:space="preserve">qot_br1_equal.npt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</si>
  <si>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</si>
  <si>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</si>
  <si>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</si>
  <si>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</si>
  <si>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</si>
  <si>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</si>
  <si>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</si>
  <si>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</si>
  <si>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</si>
  <si>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</si>
  <si>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</si>
  <si>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</si>
  <si>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</si>
  <si>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</si>
  <si>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</si>
  <si>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</si>
  <si>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</si>
  <si>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</si>
  <si>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</si>
  <si>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</si>
  <si>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</si>
  <si>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</si>
  <si>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</si>
  <si>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</si>
  <si>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</si>
  <si>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</si>
  <si>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</si>
  <si>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</si>
  <si>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</si>
  <si>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</si>
  <si>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</si>
  <si>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</si>
  <si>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</si>
  <si>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</si>
  <si>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</si>
  <si>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</si>
  <si>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</si>
  <si>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</si>
  <si>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</si>
  <si>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</si>
  <si>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</si>
  <si>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</si>
  <si>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</si>
  <si>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</si>
  <si>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</si>
  <si>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</si>
  <si>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</si>
  <si>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</si>
  <si>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</si>
  <si>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</si>
  <si>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</si>
  <si>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</si>
  <si>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</si>
  <si>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</si>
  <si>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</si>
  <si>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</si>
  <si>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</si>
  <si>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</si>
  <si>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</si>
  <si>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</si>
  <si>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</si>
  <si>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</si>
  <si>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</si>
  <si>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</si>
  <si>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</si>
  <si>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</si>
  <si>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</si>
  <si>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</si>
  <si>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</si>
  <si>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</si>
  <si>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</si>
  <si>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</si>
  <si>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</si>
  <si>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</si>
  <si>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</si>
  <si>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</si>
  <si>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MNIIR</t>
  </si>
  <si>
    <t>KMN_OXID</t>
  </si>
  <si>
    <t>KMN_RED</t>
  </si>
  <si>
    <t>KFMNOH_HalfSat</t>
  </si>
  <si>
    <t>MNSetVel</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</si>
  <si>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</si>
  <si>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</si>
  <si>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</si>
  <si>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</si>
  <si>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</si>
  <si>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</si>
  <si>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</si>
  <si>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</si>
  <si>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</si>
  <si>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</si>
  <si>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</si>
  <si>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</si>
  <si>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</si>
  <si>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</si>
  <si>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</si>
  <si>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</si>
  <si>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</si>
  <si>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</si>
  <si>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</si>
  <si>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</si>
  <si>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</si>
  <si>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</si>
  <si>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</si>
  <si>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</si>
  <si>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</si>
  <si>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</si>
  <si>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</si>
  <si>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</si>
  <si>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</si>
  <si>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"Zhong Zhang"</t>
  </si>
  <si>
    <t>"CRSO TRANSITION MODEL 2011-2015"</t>
  </si>
  <si>
    <t>"NAVD88 -&gt; NGVD29+3.3"</t>
  </si>
  <si>
    <t>"N2, DO --&gt; TDG"</t>
  </si>
  <si>
    <t>MANN</t>
  </si>
  <si>
    <t>POINT</t>
  </si>
  <si>
    <t>DOWN</t>
  </si>
  <si>
    <t>GATE11</t>
  </si>
  <si>
    <t>GATE12</t>
  </si>
  <si>
    <t>GATE13</t>
  </si>
  <si>
    <t>GATE14</t>
  </si>
  <si>
    <t>GATE15</t>
  </si>
  <si>
    <t>GATE16</t>
  </si>
  <si>
    <t>GATE17</t>
  </si>
  <si>
    <t>GATE18</t>
  </si>
  <si>
    <t>GATE19</t>
  </si>
  <si>
    <t>GATE20</t>
  </si>
  <si>
    <t>DENSITY</t>
  </si>
  <si>
    <t>QGT_BON_2011_2015_daily_DSS-scaled.csv</t>
  </si>
  <si>
    <t>BON_WSC.npt</t>
  </si>
  <si>
    <t>BON_SHD_1.npt</t>
  </si>
  <si>
    <t>BON_NAVD88_BTH_2011.csv</t>
  </si>
  <si>
    <t>HOXO_DLS_BON_2011_2015_MET_withBP.csv</t>
  </si>
  <si>
    <t xml:space="preserve">ext_1.npt not used                                            </t>
  </si>
  <si>
    <t>two_41_TDA.opt</t>
  </si>
  <si>
    <t>cwo_41_TDA.opt</t>
  </si>
  <si>
    <t>BonnevilleDam_DistributedTributaryInflow.npt</t>
  </si>
  <si>
    <t xml:space="preserve">BON_vpl.w2l                                                              </t>
  </si>
  <si>
    <t xml:space="preserve">BON_snp.opt                                                                 </t>
  </si>
  <si>
    <t xml:space="preserve">BON_prf.opt                                                                 </t>
  </si>
  <si>
    <t xml:space="preserve">BON_cpl.opt                                                                 </t>
  </si>
  <si>
    <t xml:space="preserve">BON_spr.csv                                                  </t>
  </si>
  <si>
    <t xml:space="preserve">BON_flx.opt                                                                 </t>
  </si>
  <si>
    <t>"Timestep violations [NVIOL]               "</t>
  </si>
  <si>
    <t>CE-QUAL-W2 SYSTDG V4.5</t>
  </si>
  <si>
    <t>POW</t>
  </si>
  <si>
    <t xml:space="preserve">SB1   </t>
  </si>
  <si>
    <t xml:space="preserve">SB2   </t>
  </si>
  <si>
    <t xml:space="preserve">SB3   </t>
  </si>
  <si>
    <t xml:space="preserve">SB4   </t>
  </si>
  <si>
    <t xml:space="preserve">SB5   </t>
  </si>
  <si>
    <t xml:space="preserve">SB6   </t>
  </si>
  <si>
    <t xml:space="preserve">SB7   </t>
  </si>
  <si>
    <t xml:space="preserve">SB8   </t>
  </si>
  <si>
    <t xml:space="preserve">SB9   </t>
  </si>
  <si>
    <t xml:space="preserve">SB10  </t>
  </si>
  <si>
    <t xml:space="preserve">SB11  </t>
  </si>
  <si>
    <t xml:space="preserve">SB12  </t>
  </si>
  <si>
    <t xml:space="preserve">SB13  </t>
  </si>
  <si>
    <t xml:space="preserve">SB14  </t>
  </si>
  <si>
    <t xml:space="preserve">SB15  </t>
  </si>
  <si>
    <t xml:space="preserve">SB16  </t>
  </si>
  <si>
    <t xml:space="preserve">SB17  </t>
  </si>
  <si>
    <t xml:space="preserve">SB18  </t>
  </si>
  <si>
    <t xml:space="preserve">OTHER </t>
  </si>
  <si>
    <t>POWR1</t>
  </si>
  <si>
    <t>FLD</t>
  </si>
  <si>
    <t>"BON_TW_Elev_2011_2015.csv"</t>
  </si>
  <si>
    <t>"Bonneville Dam, Columbia River"</t>
  </si>
  <si>
    <t xml:space="preserve">BON_tsr.csv                                                                 </t>
  </si>
  <si>
    <t>THE_DALLES_OUTFLOW.csv</t>
  </si>
  <si>
    <t>"GATE GAS  GASGTC = ON, SYSTDG is ON"</t>
  </si>
  <si>
    <t>DGPBND</t>
  </si>
  <si>
    <t>"7/2021"</t>
  </si>
  <si>
    <t>"Bonneville Dam"</t>
  </si>
  <si>
    <t>"CRSO Model"</t>
  </si>
  <si>
    <t>"SYSTDG"</t>
  </si>
  <si>
    <t>"5 TDG production calculation equations"</t>
  </si>
  <si>
    <t>" DGP --&gt; TDG"</t>
  </si>
  <si>
    <t>"N2, DO - -&gt; TDG"</t>
  </si>
  <si>
    <t>"3 powerhouse entrainment flow calculation equations"</t>
  </si>
  <si>
    <t xml:space="preserve"> SYSTDG input control file - w2_systdg.npt</t>
  </si>
  <si>
    <t>TWETS FILE</t>
  </si>
  <si>
    <t>"SYSTDG testing"</t>
  </si>
  <si>
    <t>SED_DIAG</t>
  </si>
  <si>
    <t>Toxins are related to algae groups in toxin input file</t>
  </si>
  <si>
    <t>"Microcystin, g/m^3"</t>
  </si>
  <si>
    <t>"Clindrospermopsin, g/m^3"</t>
  </si>
  <si>
    <t>"Anatoxin-A, g/m^3"</t>
  </si>
  <si>
    <t>"Saxitoxin, g/m^3"</t>
  </si>
  <si>
    <t xml:space="preserve">OFF   </t>
  </si>
  <si>
    <t>Read in algae vertical migration file</t>
  </si>
  <si>
    <t>Algae Vertical Migration, ON/OFF, AVERTM</t>
  </si>
  <si>
    <t>DGPO2, fraction of dissolved gas to reaeration coefficient, typical value 1.027</t>
  </si>
  <si>
    <t>MINKL (if LAKE, m/d) or MINKA (if RIVER/ESTUARY, day-1)</t>
  </si>
  <si>
    <t>Constituent</t>
  </si>
  <si>
    <t>Generic constituents, such as tracers or organics – user defined number of groups set by [NGC] – this can be zero</t>
  </si>
  <si>
    <t>Inorganic suspended solids, mg/l  – user defined number of groups set by [NSS] – this can be zero</t>
  </si>
  <si>
    <t>MICROCYSTIN, g/m3</t>
  </si>
  <si>
    <t>CYLINDROSPERMOPSIN, g/m3</t>
  </si>
  <si>
    <t>ANATOXIN-A, g/m3</t>
  </si>
  <si>
    <t>SAXITOXIN, g/m3</t>
  </si>
  <si>
    <t>" Microcystin, g/m^3"</t>
  </si>
  <si>
    <t>Not used</t>
  </si>
  <si>
    <t>SEG_INTERVALS</t>
  </si>
  <si>
    <t>$ W2_diagenesis input file</t>
  </si>
  <si>
    <t>$ All lines at top of file starting with $ are comments and disregarded by the model</t>
  </si>
  <si>
    <t>$ 08/29/2020 Additional inputs are required if a group switch is ON</t>
  </si>
  <si>
    <t>$ Zhong Zhang</t>
  </si>
  <si>
    <t>"Global Switch for all sediment diagenesis features"</t>
  </si>
  <si>
    <t xml:space="preserve">  .TRUE.</t>
  </si>
  <si>
    <t>"Include FFT layer (Fine Fluids Tailing - for Pit Lakes)"</t>
  </si>
  <si>
    <t xml:space="preserve">  .FALSE.</t>
  </si>
  <si>
    <t>"FFT layer number of periods"</t>
  </si>
  <si>
    <t>FFT group</t>
  </si>
  <si>
    <t xml:space="preserve">  Read(CEMAFilN,*)MessageTemp, NumFFTActivePrds</t>
  </si>
  <si>
    <t>"FFT layer start times"</t>
  </si>
  <si>
    <t xml:space="preserve">        Read(CEMAFilN,*)MessageTemp, (FFTActPrdSt(i), i = 1, NumFFTActivePrds) </t>
  </si>
  <si>
    <t>"FFT layer end times"</t>
  </si>
  <si>
    <t xml:space="preserve">        Read(CEMAFilN,*)MessageTemp, (FFTActPrdEn(i), i = 1, NumFFTActivePrds)</t>
  </si>
  <si>
    <t>"Initial tailings concentration in FFT (gm/m3)"</t>
    <phoneticPr fontId="0" type="noConversion"/>
  </si>
  <si>
    <t xml:space="preserve">        Read(CEMAFilN,*)MessageTemp, InitFFTLayerConc</t>
  </si>
  <si>
    <t>"Sediment settling velocity of FFT to MFT (m/d)"</t>
  </si>
  <si>
    <t xml:space="preserve">        Read(CEMAFilN,*)MessageTemp, FFTLayerSettVel</t>
  </si>
  <si>
    <t>"Move FFT layer during consolidation"</t>
    <phoneticPr fontId="0" type="noConversion"/>
  </si>
  <si>
    <t>.FALSE.</t>
  </si>
  <si>
    <t xml:space="preserve">        Read(CEMAFilN,*)MessageTemp, MoveFFTLayerDown</t>
  </si>
  <si>
    <t>"Include bed consolidation"</t>
  </si>
  <si>
    <t>Bed characteristics group</t>
  </si>
  <si>
    <t>"Fraction of layer thickness at which water layer is added"</t>
  </si>
  <si>
    <t>Bed consolidation</t>
  </si>
  <si>
    <t>Read(CEMAFilN,*)MessageTemp, LayerAddThkFrac</t>
  </si>
  <si>
    <t>"Number of bed consolidation regions”</t>
  </si>
  <si>
    <t xml:space="preserve">    Read(CEMAFilN,*)MessageTemp, NumConsolidRegns</t>
  </si>
  <si>
    <t>"Starting segment for regions”</t>
  </si>
  <si>
    <t xml:space="preserve">    Read(CEMAFilN,*)MessageTemp, (ConsRegSegSt(i), i = 1, NumConsolidRegns)</t>
  </si>
  <si>
    <t>"Ending segment for regions”</t>
  </si>
  <si>
    <t xml:space="preserve">    Read(CEMAFilN,*)MessageTemp, (ConsRegSegEn(i), i = 1, NumConsolidRegns)</t>
  </si>
  <si>
    <t>"Data type for bed consolidation for each region (0: Constant, 1: Time varying)"</t>
  </si>
  <si>
    <t xml:space="preserve">    Read(CEMAFilN,*)MessageTemp, (ConsolidationType(i), i = 1, NumConsolidRegns)</t>
  </si>
  <si>
    <t>"Bed consolidation rate (m/d)"</t>
  </si>
  <si>
    <t xml:space="preserve">    Read(CEMAFilN,*)MessageTemp, (ConstConsolidRate(i), i = 1, NumConsolidRegns)</t>
  </si>
  <si>
    <t>"Bed consolidation data file"</t>
  </si>
  <si>
    <t>Regn.npt</t>
  </si>
  <si>
    <t xml:space="preserve">    Read(CEMAFilN,*)MessageTemp, ConsolidRateRegnFil</t>
  </si>
  <si>
    <t>"Write bed elevation snapshot output"</t>
  </si>
  <si>
    <t xml:space="preserve">        Read(CEMAFilN,*)MessageTemp, WriteBESnp</t>
  </si>
  <si>
    <t>"Write bed porosity snapshot output"</t>
  </si>
  <si>
    <t xml:space="preserve">        Read(CEMAFilN,*)MessageTemp, WritePWSnp</t>
  </si>
  <si>
    <t>"Include sediment diagenesis simulation"</t>
  </si>
  <si>
    <t>"Initial bed thickness in meters"</t>
    <phoneticPr fontId="0" type="noConversion"/>
  </si>
  <si>
    <t>Sediment characteristics</t>
  </si>
  <si>
    <t xml:space="preserve">    Read(CEMAFilN,*)MessageTemp, BedElevationInit</t>
  </si>
  <si>
    <t>"Initial sediment bed porosity"</t>
    <phoneticPr fontId="0" type="noConversion"/>
  </si>
  <si>
    <t xml:space="preserve">    Read(CEMAFilN,*)MessageTemp, BedPorosityInit</t>
  </si>
  <si>
    <t>"Sediment bed particle size in microns"</t>
    <phoneticPr fontId="0" type="noConversion"/>
  </si>
  <si>
    <t xml:space="preserve">    Read(CEMAFilN,*)MessageTemp, CEMASedimentDensity</t>
  </si>
  <si>
    <t>"Sediment type (1: Cohesive, 2: Non-cohesive)"</t>
  </si>
  <si>
    <t xml:space="preserve">    Read(CEMAFilN,*)MessageTemp, CEMASedimentSVelocity</t>
  </si>
  <si>
    <t>"Sediment bulk density (kg/m3)"</t>
    <phoneticPr fontId="0" type="noConversion"/>
  </si>
  <si>
    <t xml:space="preserve">      Read(CEMAFilN,*)MessageTemp, CEMAParticleSize</t>
  </si>
  <si>
    <t>"Sediment particle settling velocity (m/d)"</t>
    <phoneticPr fontId="0" type="noConversion"/>
  </si>
  <si>
    <t xml:space="preserve">      Read(CEMAFilN,*)MessageTemp, CEMASedimentType</t>
  </si>
  <si>
    <t>"Include sediment resuspension and deposition processes"</t>
    <phoneticPr fontId="0" type="noConversion"/>
  </si>
  <si>
    <t xml:space="preserve">      Read(CEMAFilN,*)MessageTemp, CEMASedimentProcessesInc</t>
  </si>
  <si>
    <t>"Include bubble release"</t>
  </si>
  <si>
    <t>Bubble characteristics</t>
  </si>
  <si>
    <t>"Gas diffusion coefficient in sediment in m/s"</t>
    <phoneticPr fontId="0" type="noConversion"/>
  </si>
  <si>
    <t>1.0d-9</t>
  </si>
  <si>
    <t xml:space="preserve"> Read(CEMAFilN,*)MessageTemp, GasDiff_Sed    ! in m^2/s</t>
  </si>
  <si>
    <t>"Calibration parameter R1 in m"</t>
    <phoneticPr fontId="0" type="noConversion"/>
  </si>
  <si>
    <t xml:space="preserve">        Read(CEMAFilN,*)MessageTemp, CalibParam_R1</t>
  </si>
  <si>
    <t>"Young's modulus E in N/m2"</t>
    <phoneticPr fontId="0" type="noConversion"/>
  </si>
  <si>
    <t>1.4d+9</t>
  </si>
  <si>
    <t xml:space="preserve">        Read(CEMAFilN,*)MessageTemp, YoungModulus</t>
  </si>
  <si>
    <t>"Critical stress intensity factor for sediments K1c in N/m^3/2"</t>
    <phoneticPr fontId="0" type="noConversion"/>
  </si>
  <si>
    <t xml:space="preserve">        Read(CEMAFilN,*)MessageTemp, CritStressIF</t>
  </si>
  <si>
    <t>"Bubbles release scale"</t>
    <phoneticPr fontId="0" type="noConversion"/>
  </si>
  <si>
    <t xml:space="preserve">        Read(CEMAFilN,*)MessageTemp, BubbRelScale</t>
  </si>
  <si>
    <t>"Fraction of critical pressure at which cracks close"</t>
    <phoneticPr fontId="0" type="noConversion"/>
  </si>
  <si>
    <t xml:space="preserve">        Read(CEMAFilN,*)MessageTemp, CrackCloseFraction</t>
  </si>
  <si>
    <t>"Switch to limit bubble size"</t>
    <phoneticPr fontId="0" type="noConversion"/>
  </si>
  <si>
    <t>.TRUE.</t>
  </si>
  <si>
    <t xml:space="preserve">        Read(CEMAFilN,*)MessageTemp, LimBubbSize</t>
  </si>
  <si>
    <t>"Maximum bubble radius in mm"</t>
    <phoneticPr fontId="0" type="noConversion"/>
  </si>
  <si>
    <t xml:space="preserve">        Read(CEMAFilN,*)MessageTemp, MaxBubbRad</t>
  </si>
  <si>
    <t>"Switch to use slow release of bubbles"</t>
    <phoneticPr fontId="0" type="noConversion"/>
  </si>
  <si>
    <t xml:space="preserve">        Read(CEMAFilN,*)MessageTemp, UseReleaseFraction</t>
  </si>
  <si>
    <t>"Bubbles release fraction (sediments)"</t>
    <phoneticPr fontId="0" type="noConversion"/>
  </si>
  <si>
    <t xml:space="preserve">        Read(CEMAFilN,*)MessageTemp, BubbRelFraction</t>
  </si>
  <si>
    <t>"Bubbles accumulation fraction"</t>
    <phoneticPr fontId="0" type="noConversion"/>
  </si>
  <si>
    <t xml:space="preserve">        Read(CEMAFilN,*)MessageTemp, BubbAccFraction</t>
  </si>
  <si>
    <t>"Number of bubbles release array"</t>
    <phoneticPr fontId="0" type="noConversion"/>
  </si>
  <si>
    <t xml:space="preserve">        Read(CEMAFilN,*)MessageTemp, NumBubRelArr</t>
  </si>
  <si>
    <t>"Bubbles release fraction (atmosphere)"</t>
    <phoneticPr fontId="0" type="noConversion"/>
  </si>
  <si>
    <t xml:space="preserve">        Read(CEMAFilN,*)MessageTemp, BubbRelFractionAtm</t>
  </si>
  <si>
    <t>"Bubbles-water gas exchange rate (1/s)"</t>
  </si>
  <si>
    <t>1.0d-7</t>
  </si>
  <si>
    <t xml:space="preserve">        Read(CEMAFilN,*)MessageTemp, BubbWatGasExchRate</t>
  </si>
  <si>
    <t>"Apply additional turbulence due to bubbles release"</t>
    <phoneticPr fontId="0" type="noConversion"/>
  </si>
  <si>
    <t xml:space="preserve">        Read(CEMAFilN,*)MessageTemp, ApplyBubbTurb</t>
  </si>
  <si>
    <t>"Turbulence scaling factor for bubbles release"</t>
    <phoneticPr fontId="0" type="noConversion"/>
  </si>
  <si>
    <t xml:space="preserve">        Read(CEMAFilN,*)MessageTemp, CEMATurbulenceScaling</t>
  </si>
  <si>
    <t>"Include POM resuspension"</t>
  </si>
  <si>
    <t>POM resuspension</t>
  </si>
  <si>
    <t>"Critical shear stress for POM resuspension dynes/cm^2"</t>
  </si>
  <si>
    <t xml:space="preserve">          Read(CEMAFilN,*)MessageTemp, TAUCRPOM</t>
  </si>
  <si>
    <t>"Critical Shields parameter for POM"</t>
    <phoneticPr fontId="0" type="noConversion"/>
  </si>
  <si>
    <t xml:space="preserve">          Read(CEMAFilN,*)MessageTemp, crshields</t>
  </si>
  <si>
    <t>"Use Cao method to estimate critical Shields parameter (rather than using input value)"</t>
    <phoneticPr fontId="0" type="noConversion"/>
  </si>
  <si>
    <t xml:space="preserve">          Read(CEMAFilN,*)MessageTemp, cao_method</t>
  </si>
  <si>
    <t>"POM specific gravity"</t>
  </si>
  <si>
    <t xml:space="preserve">          Read(CEMAFilN,*)MessageTemp, spgrav_POM</t>
  </si>
  <si>
    <t>"POM particle diameter m"</t>
  </si>
  <si>
    <t xml:space="preserve">          Read(CEMAFilN,*)MessageTemp, dia_POM</t>
  </si>
  <si>
    <t>"Include modeling of alkalinity/pH in sediments"</t>
  </si>
  <si>
    <t xml:space="preserve">        Read(CEMAFilN,*)MessageTemp, IncludeAlkalinity</t>
  </si>
  <si>
    <t>"Include modeling of Iron (FeOOH and Fe(II)) in sediments"</t>
  </si>
  <si>
    <t xml:space="preserve">        Read(CEMAFilN,*)MessageTemp, IncludeIron        </t>
  </si>
  <si>
    <t>"Include modeling of Manganese (Mn(II) and MnO2) in sediments"</t>
  </si>
  <si>
    <t xml:space="preserve">        Read(CEMAFilN,*)MessageTemp, IncludeManganese</t>
  </si>
  <si>
    <t>"Number of regions for different initial sediment concentrations"</t>
  </si>
  <si>
    <t>Region1</t>
  </si>
  <si>
    <t>Region2</t>
  </si>
  <si>
    <t>Region3</t>
  </si>
  <si>
    <t>Region4</t>
  </si>
  <si>
    <t>Region5</t>
  </si>
  <si>
    <t>Initial conditions</t>
  </si>
  <si>
    <t>"Starting segment for regions"</t>
  </si>
  <si>
    <t xml:space="preserve">        Read(CEMAFilN,*)MessageTemp, (SedBedInitRegSegSt(i), i = 1, NumRegnsSedimentBedComposition)</t>
  </si>
  <si>
    <t>"Ending segment for regions"</t>
  </si>
  <si>
    <t xml:space="preserve">        Read(CEMAFilN,*)MessageTemp, (SedBedInitRegSegEn(i), i = 1, NumRegnsSedimentBedComposition)</t>
  </si>
  <si>
    <t>"Initial sediment temperature oC"</t>
  </si>
  <si>
    <t xml:space="preserve">        Read(CEMAFilN,*)MessageTemp, (SDRegnT_T(i),   i = 1, NumRegnsSedimentBedComposition)</t>
  </si>
  <si>
    <t>"Initial sediment pH (only used if include modeling dynamic pH)"</t>
  </si>
  <si>
    <t xml:space="preserve">            Read(CEMAFilN,*)MessageTemp, (SDRegnpH(i), i = 1, NumRegnsSedimentBedComposition) </t>
  </si>
  <si>
    <t>"Initial POC (total) concentration mgC/L"</t>
  </si>
  <si>
    <t xml:space="preserve">        Read(CEMAFilN,*)MessageTemp, (SDRegnPOC_T(i), i = 1, NumRegnsSedimentBedComposition)</t>
  </si>
  <si>
    <t>"Initial PON (total) concentration mgN/L"</t>
  </si>
  <si>
    <t xml:space="preserve">        Read(CEMAFilN,*)MessageTemp, (SDRegnPON_T(i), i = 1, NumRegnsSedimentBedComposition)</t>
  </si>
  <si>
    <t>"Initial POP (total) concentration mgP/L"</t>
  </si>
  <si>
    <t xml:space="preserve">        Read(CEMAFilN,*)MessageTemp, (SDRegnPOP_T(i), i = 1, NumRegnsSedimentBedComposition)</t>
  </si>
  <si>
    <t>"Initial SO4 concentration mgS/L"</t>
  </si>
  <si>
    <t xml:space="preserve">        Read(CEMAFilN,*)MessageTemp, (SDRegnSul_T(i), i = 1, NumRegnsSedimentBedComposition)</t>
  </si>
  <si>
    <t>"Initial dissolved NH4 concentration mgN/L"</t>
  </si>
  <si>
    <t xml:space="preserve">        Read(CEMAFilN,*)MessageTemp, (SDRegnNH3_T(i), i = 1, NumRegnsSedimentBedComposition)</t>
  </si>
  <si>
    <t>"Initial dissolved NO3 concentration mgN/L"</t>
  </si>
  <si>
    <t xml:space="preserve">        Read(CEMAFilN,*)MessageTemp, (SDRegnNO3_T(i), i = 1, NumRegnsSedimentBedComposition)</t>
  </si>
  <si>
    <t>"Initial total PO4 concentration mgP/L"</t>
  </si>
  <si>
    <t xml:space="preserve">        Read(CEMAFilN,*)MessageTemp, (SDRegnPO4_T(i), i = 1, NumRegnsSedimentBedComposition)</t>
  </si>
  <si>
    <t>"Initial dissolved H2S concentration mgS/L"</t>
  </si>
  <si>
    <t xml:space="preserve">        Read(CEMAFilN,*)MessageTemp, (SDRegnH2S_T(i), i = 1, NumRegnsSedimentBedComposition)</t>
  </si>
  <si>
    <t>"Initial CH4 concentration mgC/L"</t>
  </si>
  <si>
    <t xml:space="preserve">        Read(CEMAFilN,*)MessageTemp, (SDRegnCH4_T(i), i = 1, NumRegnsSedimentBedComposition)</t>
  </si>
  <si>
    <t>"Initial TIC concentration mgC/L"</t>
  </si>
  <si>
    <t xml:space="preserve">        Read(CEMAFilN,*)MessageTemp, (SDRegnTIC_T(i), i = 1, NumRegnsSedimentBedComposition)</t>
  </si>
  <si>
    <t>"Initial Alkalinity concentration for each region mg/l as CaCO3"</t>
  </si>
  <si>
    <t xml:space="preserve">            Read(CEMAFilN,*)MessageTemp, (SDRegnALK_T(i), i = 1, NumRegnsSedimentBedComposition)</t>
  </si>
  <si>
    <t>"Initial Ferrous Iron concentration for each region mgFe/l"</t>
  </si>
  <si>
    <t xml:space="preserve">          Read(CEMAFilN,*)MessageTemp, (SDRegnFe2_T(i),   i = 1, NumRegnsSedimentBedComposition)</t>
  </si>
  <si>
    <t>"Initial Iron Oxyhydroxide concentration for each region mgFe/l,"</t>
  </si>
  <si>
    <t xml:space="preserve">          Read(CEMAFilN,*)MessageTemp, (SDRegnFeOOH_T(i), i = 1, NumRegnsSedimentBedComposition)</t>
  </si>
  <si>
    <t>"Initial Mn(II) concentration for each region mgMn/l,"</t>
  </si>
  <si>
    <t xml:space="preserve">          Read(CEMAFilN,*)MessageTemp, (SDRegnMn2_T(i),  i = 1, NumRegnsSedimentBedComposition)</t>
  </si>
  <si>
    <t>"Initial manganese dioxide concentration for each region mgMn/l,"</t>
  </si>
  <si>
    <t xml:space="preserve">          Read(CEMAFilN,*)MessageTemp, (SDRegnMnO2_T(i), i = 1, NumRegnsSedimentBedComposition)</t>
  </si>
  <si>
    <t>"Number of regions for different diagenesis related rates"</t>
  </si>
  <si>
    <t>These can be different regions than above</t>
  </si>
  <si>
    <t>Rate constants</t>
  </si>
  <si>
    <t xml:space="preserve">        Read(CEMAFilN,*)MessageTemp, (SedBedDiaRCRegSegSt(i),     i = 1, NumRegnsSedimentDiagenesis)</t>
  </si>
  <si>
    <t xml:space="preserve">        Read(CEMAFilN,*)MessageTemp, (SedBedDiaRCRegSegEn(i),     i = 1, NumRegnsSedimentDiagenesis)</t>
  </si>
  <si>
    <t>"Fraction of labile POC"</t>
  </si>
  <si>
    <t xml:space="preserve">        Read(CEMAFilN,*)MessageTemp, (SDRegnPOC_L_Fr(i),          i = 1, NumRegnsSedimentDiagenesis)</t>
  </si>
  <si>
    <t>"Fraction of refractory POC"</t>
  </si>
  <si>
    <t xml:space="preserve">        Read(CEMAFilN,*)MessageTemp, (SDRegnPOC_R_Fr(i),          i = 1, NumRegnsSedimentDiagenesis)</t>
  </si>
  <si>
    <t>"Fraction of labile PON"</t>
  </si>
  <si>
    <t xml:space="preserve">        Read(CEMAFilN,*)MessageTemp, (SDRegnPON_L_Fr(i),          i = 1, NumRegnsSedimentDiagenesis)</t>
  </si>
  <si>
    <t>"Fraction of refractory PON"</t>
  </si>
  <si>
    <t xml:space="preserve">        Read(CEMAFilN,*)MessageTemp, (SDRegnPON_R_Fr(i),          i = 1, NumRegnsSedimentDiagenesis)</t>
  </si>
  <si>
    <t>"Fraction of labile POP"</t>
  </si>
  <si>
    <t xml:space="preserve">        Read(CEMAFilN,*)MessageTemp, (SDRegnPOP_L_Fr(i),          i = 1, NumRegnsSedimentDiagenesis)</t>
  </si>
  <si>
    <t>"Fraction of refractory POP"</t>
  </si>
  <si>
    <t xml:space="preserve">        Read(CEMAFilN,*)MessageTemp, (SDRegnPOP_R_Fr(i),          i = 1, NumRegnsSedimentDiagenesis)</t>
  </si>
  <si>
    <t>"Pore water diffusion coefficient m2/d"</t>
  </si>
  <si>
    <t xml:space="preserve">        Read(CEMAFilN,*)MessageTemp, (SDRegnPW_DiffCoeff(i),      i = 1, NumRegnsSedimentDiagenesis)</t>
  </si>
  <si>
    <t>"Particle mixing velocity between aerobic and anaerobic layers m2/d"</t>
  </si>
  <si>
    <t xml:space="preserve">        Read(CEMAFilN,*)MessageTemp, (PartMixVel(i),              i = 1, NumRegnsSedimentDiagenesis)</t>
  </si>
  <si>
    <t>"Burial velocity m/d"</t>
  </si>
  <si>
    <t xml:space="preserve">        Read(CEMAFilN,*)MessageTemp, (BurialVel(i),               i = 1, NumRegnsSedimentDiagenesis)</t>
  </si>
  <si>
    <t>"Reference POC G1 concentration for bioturbation mg-C/g Calculation of final benthic particle mixing velocity Equation 13.6 in DoToro (2001)"</t>
  </si>
  <si>
    <t xml:space="preserve">        Read(CEMAFilN,*)MessageTemp, (POCr(i),                    i = 1, NumRegnsSedimentDiagenesis)</t>
  </si>
  <si>
    <t>"CH4 production calculation method (0: Analytical  1: Numerical)"</t>
  </si>
  <si>
    <t xml:space="preserve">        Read(CEMAFilN,*)MessageTemp, (SDRegn_CH4CompMethod(i),    i = 1, NumRegnsSedimentDiagenesis)</t>
  </si>
  <si>
    <t>"DO threshold for aerobic layer oxidation rates mgO2/L"</t>
  </si>
  <si>
    <t xml:space="preserve">        Read(CEMAFilN,*)MessageTemp, (SDRegnOx_Threshold(i),      i = 1, NumRegnsSedimentDiagenesis)</t>
  </si>
  <si>
    <t>"Nitrification rate in aerobic layer at DO below threshold m/d"</t>
  </si>
  <si>
    <t xml:space="preserve">        Read(CEMAFilN,*)MessageTemp, (SDRegnAe_NH3_NO3_L(i),      i = 1, NumRegnsSedimentDiagenesis)</t>
  </si>
  <si>
    <t>"Nitrification rate in aerobic layer at DO above threshold m/d"</t>
  </si>
  <si>
    <t xml:space="preserve">        Read(CEMAFilN,*)MessageTemp, (SDRegnAe_NH3_NO3_H(i),      i = 1, NumRegnsSedimentDiagenesis)</t>
  </si>
  <si>
    <t>"Denitrification rate in aerobic layer at DO below threshold m/d"</t>
  </si>
  <si>
    <t xml:space="preserve">        Read(CEMAFilN,*)MessageTemp, (SDRegnAe_NO3_N2_L(i),       i = 1, NumRegnsSedimentDiagenesis)</t>
  </si>
  <si>
    <t>"Denitrification rate in aerobic layer at DO above threshold m/d"</t>
  </si>
  <si>
    <t xml:space="preserve">        Read(CEMAFilN,*)MessageTemp, (SDRegnAe_NO3_N2_H(i),       i = 1, NumRegnsSedimentDiagenesis)</t>
  </si>
  <si>
    <t>"Denitrification rate in anerobic layer m/d"</t>
  </si>
  <si>
    <t xml:space="preserve">        Read(CEMAFilN,*)MessageTemp, (SDRegnAn_NO3_N2(i),         i = 1, NumRegnsSedimentDiagenesis)</t>
  </si>
  <si>
    <t>"CH4 oxidation rate in aerobic layer m/d"</t>
  </si>
  <si>
    <t xml:space="preserve">        Read(CEMAFilN,*)MessageTemp, (SDRegnAe_CH4_CO2(i),        i = 1, NumRegnsSedimentDiagenesis)   !Eq. 10.35</t>
  </si>
  <si>
    <t>"Half-saturation oxygen constant for CH4 oxidation mg-O2/L"</t>
  </si>
  <si>
    <t xml:space="preserve">        Read(CEMAFilN,*)MessageTemp, (KsOxch(i),                  i = 1, NumRegnsSedimentDiagenesis)</t>
  </si>
  <si>
    <t>"Nitrification half-saturation constant for NH4 in aerobic layer mgN/L"</t>
  </si>
  <si>
    <t xml:space="preserve">        Read(CEMAFilN,*)MessageTemp, (SDRegnAe_HS_NH4_Nit(i),     i = 1, NumRegnsSedimentDiagenesis)   !Eq. 3.3</t>
  </si>
  <si>
    <t>"Nitrification half-saturation constant for O2 in aerobic layer mgO2/L"</t>
  </si>
  <si>
    <t xml:space="preserve">        Read(CEMAFilN,*)MessageTemp, (SDRegnAe_HS_O2_Nit(i),      i = 1, NumRegnsSedimentDiagenesis)   !Eq. 3.3</t>
  </si>
  <si>
    <t>"Temperature coefficient for pore water diffusion between layers"</t>
  </si>
  <si>
    <t xml:space="preserve">        Read(CEMAFilN,*)MessageTemp, (SDRegn_Theta_PW(i),         i = 1, NumRegnsSedimentDiagenesis)</t>
  </si>
  <si>
    <t>"Temperature coefficient for particle mixing diffusion coefficient"</t>
  </si>
  <si>
    <t xml:space="preserve">        Read(CEMAFilN,*)MessageTemp, (SDRegn_Theta_PM(i),         i = 1, NumRegnsSedimentDiagenesis)</t>
  </si>
  <si>
    <t>"Temperature coefficient for nitrification"</t>
  </si>
  <si>
    <t xml:space="preserve">        Read(CEMAFilN,*)MessageTemp, (SDRegn_Theta_NH3_NO3(i),    i = 1, NumRegnsSedimentDiagenesis)   </t>
  </si>
  <si>
    <t>"Temperature coefficient for denitrification"</t>
  </si>
  <si>
    <t xml:space="preserve">        Read(CEMAFilN,*)MessageTemp, (SDRegn_Theta_NO3_N2(i),     i = 1, NumRegnsSedimentDiagenesis)  </t>
  </si>
  <si>
    <t>"Temperature coefficient for methane oxidation"</t>
  </si>
  <si>
    <t xml:space="preserve">        Read(CEMAFilN,*)MessageTemp, (SDRegn_Theta_CH4_CO2(i),    i = 1, NumRegnsSedimentDiagenesis)</t>
  </si>
  <si>
    <t>"SO4 concentration above which sulfide over methane is produced mgS/L"</t>
  </si>
  <si>
    <t xml:space="preserve">        Read(CEMAFilN,*)MessageTemp, (SDRegn_Sulfate_CH4_H2S(i),  i = 1, NumRegnsSedimentDiagenesis)</t>
  </si>
  <si>
    <t>"H2S oxidation rate in aerobic layer m/d"</t>
  </si>
  <si>
    <t xml:space="preserve">        Read(CEMAFilN,*)MessageTemp, (SDRegnAe_H2S_SO4(i),        i = 1, NumRegnsSedimentDiagenesis)</t>
  </si>
  <si>
    <t>"Temperature coefficient for H2S oxidation"</t>
  </si>
  <si>
    <t xml:space="preserve">        Read(CEMAFilN,*)MessageTemp, (SDRegn_Theta_H2S_SO4(i),    i = 1, NumRegnsSedimentDiagenesis)</t>
  </si>
  <si>
    <t>"H2S oxidation normalization constant for O2 mgO2/L"</t>
  </si>
  <si>
    <t xml:space="preserve">        Read(CEMAFilN,*)MessageTemp, (SDRegn_NormConst_H2S_SO4(i),i = 1, NumRegnsSedimentDiagenesis)   !Eq. 9.6</t>
  </si>
  <si>
    <t>"Diagenesis rate for labile POC (G1) 1/d"</t>
  </si>
  <si>
    <t xml:space="preserve">        Read(CEMAFilN,*)MessageTemp, (SDRegn_MinRate_POC_Lab(i),  i = 1, NumRegnsSedimentDiagenesis)</t>
  </si>
  <si>
    <t>"Diagenesis rate for refractory POC (G2) 1/d"</t>
  </si>
  <si>
    <t xml:space="preserve">        Read(CEMAFilN,*)MessageTemp, (SDRegn_MinRate_POC_Ref(i),  i = 1, NumRegnsSedimentDiagenesis)</t>
  </si>
  <si>
    <t>"Diagenesis rate for inert/slow refractory POC (G3) 1/d"</t>
  </si>
  <si>
    <t xml:space="preserve">        Read(CEMAFilN,*)MessageTemp, (SDRegn_MinRate_POC_Ine(i),  i = 1, NumRegnsSedimentDiagenesis)</t>
  </si>
  <si>
    <t>"Diagenesis rate for labile PON (G1) 1/d"</t>
  </si>
  <si>
    <t xml:space="preserve">        Read(CEMAFilN,*)MessageTemp, (SDRegn_MinRate_PON_Lab(i),  i = 1, NumRegnsSedimentDiagenesis)</t>
  </si>
  <si>
    <t>"Diagenesis rate for refractory PON (G2) 1/d"</t>
  </si>
  <si>
    <t xml:space="preserve">        Read(CEMAFilN,*)MessageTemp, (SDRegn_MinRate_PON_Ref(i),  i = 1, NumRegnsSedimentDiagenesis)</t>
  </si>
  <si>
    <t>"Diagenesis rate for inert/slow refractory PON (G3) 1/d"</t>
  </si>
  <si>
    <t xml:space="preserve">        Read(CEMAFilN,*)MessageTemp, (SDRegn_MinRate_PON_Ine(i),  i = 1, NumRegnsSedimentDiagenesis)</t>
  </si>
  <si>
    <t>"Diagenesis rate for labile POP (G1) 1/d"</t>
  </si>
  <si>
    <t xml:space="preserve">        Read(CEMAFilN,*)MessageTemp, (SDRegn_MinRate_POP_Lab(i),  i = 1, NumRegnsSedimentDiagenesis)</t>
  </si>
  <si>
    <t>"Diagenesis rate for refractory POP (G2) 1/d"</t>
  </si>
  <si>
    <t xml:space="preserve">        Read(CEMAFilN,*)MessageTemp, (SDRegn_MinRate_POP_Ref(i),  i = 1, NumRegnsSedimentDiagenesis)</t>
  </si>
  <si>
    <t>"Diagenesis rate for inert/slow refractory POP (G3) 1/d"</t>
  </si>
  <si>
    <t xml:space="preserve">        Read(CEMAFilN,*)MessageTemp, (SDRegn_MinRate_POP_Ine(i),  i = 1, NumRegnsSedimentDiagenesis)</t>
  </si>
  <si>
    <t>"Temperature coefficient for labile POC"</t>
  </si>
  <si>
    <t xml:space="preserve">        Read(CEMAFilN,*)MessageTemp, (SDRegn_Theta_POC_Lab(i),    i = 1, NumRegnsSedimentDiagenesis)</t>
  </si>
  <si>
    <t>"Temperature coefficient for refractory POC"</t>
  </si>
  <si>
    <t xml:space="preserve">        Read(CEMAFilN,*)MessageTemp, (SDRegn_Theta_POC_Ref(i),    i = 1, NumRegnsSedimentDiagenesis)</t>
  </si>
  <si>
    <t>"Temperature coefficient for inert/slow refractory POC"</t>
  </si>
  <si>
    <t xml:space="preserve">        Read(CEMAFilN,*)MessageTemp, (SDRegn_Theta_POC_Ine(i),    i = 1, NumRegnsSedimentDiagenesis)</t>
  </si>
  <si>
    <t>"Temperature coefficient for labile PON"</t>
  </si>
  <si>
    <t xml:space="preserve">        Read(CEMAFilN,*)MessageTemp, (SDRegn_Theta_PON_Lab(i),    i = 1, NumRegnsSedimentDiagenesis)</t>
  </si>
  <si>
    <t>"Temperature coefficient for refractory PON"</t>
  </si>
  <si>
    <t xml:space="preserve">        Read(CEMAFilN,*)MessageTemp, (SDRegn_Theta_PON_Ref(i),    i = 1, NumRegnsSedimentDiagenesis)</t>
  </si>
  <si>
    <t>"Temperature coefficient for inert/slow refractory PON"</t>
  </si>
  <si>
    <t xml:space="preserve">        Read(CEMAFilN,*)MessageTemp, (SDRegn_Theta_PON_Ine(i),    i = 1, NumRegnsSedimentDiagenesis)</t>
  </si>
  <si>
    <t>"Temperature coefficient for labile POP"</t>
  </si>
  <si>
    <t xml:space="preserve">        Read(CEMAFilN,*)MessageTemp, (SDRegn_Theta_POP_Lab(i),    i = 1, NumRegnsSedimentDiagenesis)</t>
  </si>
  <si>
    <t>"Temperature coefficient for refractory POP"</t>
  </si>
  <si>
    <t xml:space="preserve">        Read(CEMAFilN,*)MessageTemp, (SDRegn_Theta_POP_Ref(i),    i = 1, NumRegnsSedimentDiagenesis)</t>
  </si>
  <si>
    <t>"Temperature coefficient for inert/slow refractory POP"</t>
  </si>
  <si>
    <t xml:space="preserve">        Read(CEMAFilN,*)MessageTemp, (SDRegn_Theta_POP_Ine(i),    i = 1, NumRegnsSedimentDiagenesis)    </t>
  </si>
  <si>
    <t>"PO4 sorption coefficient in anaerobic layer m^3/kg"</t>
  </si>
  <si>
    <t xml:space="preserve">        Read(CEMAFilN,*)MessageTemp, (Kdp2(i),                    i = 1, NumRegnsSedimentDiagenesis) </t>
  </si>
  <si>
    <t>"Incremental PO4 partition coefficient"</t>
  </si>
  <si>
    <t xml:space="preserve">        Read(CEMAFilN,*)MessageTemp, (delta_kpo41(i),             i = 1, NumRegnsSedimentDiagenesis) </t>
  </si>
  <si>
    <t>"Critical oxygen concentration for incremental sorption mg-O2/L"</t>
  </si>
  <si>
    <t xml:space="preserve">        Read(CEMAFilN,*)MessageTemp, (DOcr(i),                    i = 1, NumRegnsSedimentDiagenesis) </t>
  </si>
  <si>
    <t>"NH4 sorption coefficient in aerobic layer m^3/kg"</t>
  </si>
  <si>
    <t xml:space="preserve">        Read(CEMAFilN,*)MessageTemp, (KdNH31(i),                  i = 1, NumRegnsSedimentDiagenesis)    </t>
  </si>
  <si>
    <t>"NH4 sorption coefficient in anaerobic layer m^3/kg"</t>
  </si>
  <si>
    <t xml:space="preserve">        Read(CEMAFilN,*)MessageTemp, (KdNH32(i),                  i = 1, NumRegnsSedimentDiagenesis) </t>
  </si>
  <si>
    <t>"H2S sorption coefficient in aerobic layer m^3/kg"</t>
  </si>
  <si>
    <t xml:space="preserve">        Read(CEMAFilN,*)MessageTemp, (KdH2S1(i),                  i = 1, NumRegnsSedimentDiagenesis) </t>
  </si>
  <si>
    <t>"H2S sorption coefficient in anaerobic layer m^3/kg"</t>
  </si>
  <si>
    <t xml:space="preserve">        Read(CEMAFilN,*)MessageTemp, (KdH2S2(i),                  i = 1, NumRegnsSedimentDiagenesis) </t>
  </si>
  <si>
    <t>"Algorithm for POM resuspension (0: Wind induced resuspension, 1: Bottom scour resuspension) Only used if Include POM resuspension is .TRUE."</t>
  </si>
  <si>
    <t xml:space="preserve">        Read(CEMAFilN,*)MessageTemp, (SDRegn_POMResuspMethod(i),  i = 1, NumRegnsSedimentDiagenesis)</t>
  </si>
  <si>
    <t>"Fe(II) sorption coefficient in aerobic layer m^3/g"</t>
  </si>
  <si>
    <t xml:space="preserve">        Read(CEMAFilN,*)MessageTemp, (KdFe1(i),               i = 1, NumRegnsSedimentDiagenesis)</t>
  </si>
  <si>
    <t>"Fe(II) sorption coefficient in anaerobic layer m^3/g"</t>
  </si>
  <si>
    <t xml:space="preserve">        Read(CEMAFilN,*)MessageTemp, (KdFe2(i),               i = 1, NumRegnsSedimentDiagenesis)</t>
  </si>
  <si>
    <t>"Mn(II) sorption coefficient in aerobic layer m^3/g"</t>
  </si>
  <si>
    <t xml:space="preserve">        Read(CEMAFilN,*)MessageTemp, (KdMn1(i),               i = 1, NumRegnsSedimentDiagenesis)</t>
  </si>
  <si>
    <t>"Mn(II) sorption coefficient in anaerobic layer  m^3/g"</t>
  </si>
  <si>
    <t xml:space="preserve">        Read(CEMAFilN,*)MessageTemp, (KdMn2(i),               i = 1, NumRegnsSedimentDiagenesis)</t>
  </si>
  <si>
    <t>"Write sediment fluxes"</t>
  </si>
  <si>
    <t xml:space="preserve">        Read(CEMAFilN,*)MessageTemp, WriteCEMAMFTSedFlx</t>
  </si>
  <si>
    <t>"Frequency of output days"</t>
  </si>
  <si>
    <t xml:space="preserve">        READ(CEMAFilN,*)MessageTemp, SEDIAGFREQ   ! FREQUENCY OF OUTPUT SW 5/25/2017</t>
  </si>
  <si>
    <t>w2_lake_river_contour.csv!A1</t>
  </si>
  <si>
    <t>w2_AlgaeMigration.csv!A1</t>
  </si>
  <si>
    <t>w2_Algae_Toxin.csv!A1</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</si>
  <si>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</si>
  <si>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</si>
  <si>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</si>
  <si>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</si>
  <si>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</si>
  <si>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</si>
  <si>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</si>
  <si>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</si>
  <si>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</si>
  <si>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</si>
  <si>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</si>
  <si>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</si>
  <si>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</si>
  <si>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</si>
  <si>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</si>
  <si>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</si>
  <si>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</si>
  <si>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</si>
  <si>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</si>
  <si>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</si>
  <si>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</si>
  <si>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</si>
  <si>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</si>
  <si>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</si>
  <si>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</si>
  <si>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</si>
  <si>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</si>
  <si>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</si>
  <si>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</si>
  <si>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</si>
  <si>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</si>
  <si>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</si>
  <si>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</si>
  <si>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</si>
  <si>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</si>
  <si>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</si>
  <si>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</si>
  <si>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</si>
  <si>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</si>
  <si>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</si>
  <si>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</si>
  <si>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</si>
  <si>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</si>
  <si>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</si>
  <si>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</si>
  <si>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</si>
  <si>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</si>
  <si>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</si>
  <si>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</si>
  <si>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</si>
  <si>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</si>
  <si>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PHMAX2</t>
  </si>
  <si>
    <t>PHMAX3</t>
  </si>
  <si>
    <t>PHMAX4</t>
  </si>
  <si>
    <t>TARGET FILE</t>
  </si>
  <si>
    <t>TDGdyntarget.csv</t>
  </si>
  <si>
    <t>w2_diagenesis.npt!A1</t>
  </si>
  <si>
    <t>w2_TDGTarget.csv!A1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</si>
</sst>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164" formatCode="[$-409]d\-mmm\-yyyy;@"/>
    <numFmt numFmtId="165" formatCode="[$-409]m/d/yy\ h:mm\ AM/PM;@"/>
    <numFmt numFmtId="166" formatCode="0.000"/>
  </numFmts>
  <fonts count="17"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FDE9D9"/>
        <bgColor indexed="64"/>
      </patternFill>
    </fill>
    <fill>
      <patternFill patternType="solid">
        <fgColor rgb="FFDAEEF3"/>
        <bgColor indexed="64"/>
      </patternFill>
    </fill>
    <fill>
      <patternFill patternType="solid">
        <fgColor rgb="FFDA9694"/>
        <bgColor indexed="64"/>
      </patternFill>
    </fill>
    <fill>
      <patternFill patternType="solid">
        <fgColor theme="9" tint="0.39997558519241921"/>
        <bgColor indexed="64"/>
      </patternFill>
    </fill>
    <fill>
      <patternFill patternType="solid">
        <fgColor theme="6"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cellStyleXfs>
  <cellXfs count="126">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0" borderId="1" xfId="0" applyFill="1" applyBorder="1"/>
    <xf numFmtId="0" fontId="0" fillId="3" borderId="4" xfId="0" applyFill="1" applyBorder="1"/>
    <xf numFmtId="0" fontId="0" fillId="0" borderId="1" xfId="0" applyBorder="1"/>
    <xf numFmtId="0" fontId="0" fillId="0" borderId="0" xfId="0" applyFill="1" applyBorder="1"/>
    <xf numFmtId="0" fontId="0" fillId="3" borderId="5"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2" borderId="0" xfId="0" applyFill="1" applyAlignment="1">
      <alignment wrapText="1"/>
    </xf>
    <xf numFmtId="0" fontId="0" fillId="12"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0" fillId="17" borderId="1" xfId="0" applyFill="1" applyBorder="1"/>
    <xf numFmtId="0" fontId="0" fillId="18" borderId="0" xfId="0" applyFill="1"/>
    <xf numFmtId="164" fontId="15" fillId="12" borderId="1" xfId="1" applyNumberFormat="1"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0" fillId="0" borderId="6" xfId="0" applyFill="1" applyBorder="1"/>
    <xf numFmtId="0" fontId="12" fillId="0" borderId="0" xfId="0" applyFont="1"/>
    <xf numFmtId="0" fontId="0" fillId="0" borderId="8" xfId="0" applyFill="1" applyBorder="1"/>
    <xf numFmtId="0" fontId="0" fillId="0" borderId="9" xfId="0" applyFill="1" applyBorder="1"/>
    <xf numFmtId="0" fontId="0" fillId="0" borderId="10" xfId="0" applyFill="1" applyBorder="1"/>
    <xf numFmtId="0" fontId="0" fillId="0" borderId="6" xfId="0" applyBorder="1"/>
    <xf numFmtId="0" fontId="12" fillId="4" borderId="1" xfId="0" applyFont="1" applyFill="1" applyBorder="1"/>
    <xf numFmtId="0" fontId="12" fillId="3" borderId="1" xfId="0" applyFont="1" applyFill="1" applyBorder="1"/>
    <xf numFmtId="0" fontId="12" fillId="4" borderId="1" xfId="0" applyFont="1" applyFill="1" applyBorder="1" applyAlignment="1">
      <alignment vertical="center"/>
    </xf>
    <xf numFmtId="0" fontId="0" fillId="0" borderId="0" xfId="0" applyBorder="1"/>
    <xf numFmtId="0" fontId="4" fillId="6" borderId="1" xfId="0" applyFont="1" applyFill="1" applyBorder="1" applyAlignment="1" applyProtection="1">
      <alignment horizontal="center"/>
      <protection hidden="1"/>
    </xf>
    <xf numFmtId="0" fontId="0" fillId="19" borderId="1" xfId="0" applyFill="1" applyBorder="1"/>
    <xf numFmtId="0" fontId="0" fillId="20" borderId="1" xfId="0" applyFill="1" applyBorder="1"/>
    <xf numFmtId="0" fontId="0" fillId="20" borderId="0" xfId="0" applyFill="1"/>
    <xf numFmtId="0" fontId="0" fillId="9" borderId="0" xfId="0" applyFill="1"/>
    <xf numFmtId="0" fontId="16" fillId="0" borderId="0" xfId="0" applyFont="1" applyAlignment="1">
      <alignment horizontal="center"/>
    </xf>
    <xf numFmtId="0" fontId="0" fillId="4" borderId="7" xfId="0" applyFill="1" applyBorder="1"/>
    <xf numFmtId="0" fontId="16" fillId="0" borderId="7" xfId="0" applyFont="1" applyBorder="1" applyAlignment="1">
      <alignment horizontal="center"/>
    </xf>
    <xf numFmtId="0" fontId="0" fillId="4" borderId="1" xfId="0" applyFill="1" applyBorder="1" applyAlignment="1">
      <alignment horizontal="right"/>
    </xf>
    <xf numFmtId="0" fontId="0" fillId="5" borderId="7" xfId="0" applyFill="1" applyBorder="1"/>
    <xf numFmtId="0" fontId="7" fillId="5" borderId="1" xfId="0" applyFont="1" applyFill="1" applyBorder="1"/>
    <xf numFmtId="0" fontId="12" fillId="5" borderId="1" xfId="0" applyFont="1" applyFill="1" applyBorder="1"/>
    <xf numFmtId="0" fontId="12" fillId="5" borderId="7" xfId="0" applyFont="1" applyFill="1" applyBorder="1"/>
    <xf numFmtId="0" fontId="12" fillId="5" borderId="0" xfId="0" applyFont="1" applyFill="1"/>
    <xf numFmtId="0" fontId="0" fillId="19" borderId="7" xfId="0" applyFill="1" applyBorder="1"/>
    <xf numFmtId="0" fontId="0" fillId="19" borderId="1" xfId="0" applyFill="1" applyBorder="1" applyAlignment="1">
      <alignment horizontal="right"/>
    </xf>
    <xf numFmtId="0" fontId="0" fillId="10" borderId="1" xfId="0" applyFill="1" applyBorder="1" applyAlignment="1">
      <alignment horizontal="right"/>
    </xf>
    <xf numFmtId="0" fontId="0" fillId="10" borderId="7" xfId="0" applyFill="1" applyBorder="1"/>
    <xf numFmtId="0" fontId="0" fillId="4" borderId="1" xfId="0" applyFill="1" applyBorder="1" applyAlignment="1">
      <alignment wrapText="1"/>
    </xf>
    <xf numFmtId="0" fontId="0" fillId="0" borderId="7" xfId="0" applyBorder="1"/>
    <xf numFmtId="0" fontId="15" fillId="0" borderId="0" xfId="1" applyFill="1"/>
    <xf numFmtId="16" fontId="0" fillId="2" borderId="1" xfId="0" applyNumberFormat="1" applyFill="1" applyBorder="1"/>
    <xf numFmtId="0" fontId="15" fillId="0" borderId="0" xfId="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182880</xdr:rowOff>
        </xdr:from>
        <xdr:to>
          <xdr:col>1</xdr:col>
          <xdr:colOff>4088130</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11430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544830</xdr:colOff>
          <xdr:row>8</xdr:row>
          <xdr:rowOff>171450</xdr:rowOff>
        </xdr:from>
        <xdr:to>
          <xdr:col>3</xdr:col>
          <xdr:colOff>266700</xdr:colOff>
          <xdr:row>13</xdr:row>
          <xdr:rowOff>11430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601980</xdr:colOff>
          <xdr:row>1</xdr:row>
          <xdr:rowOff>68580</xdr:rowOff>
        </xdr:from>
        <xdr:to>
          <xdr:col>11</xdr:col>
          <xdr:colOff>1630680</xdr:colOff>
          <xdr:row>5</xdr:row>
          <xdr:rowOff>87630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68580</xdr:rowOff>
        </xdr:from>
        <xdr:to>
          <xdr:col>22</xdr:col>
          <xdr:colOff>438150</xdr:colOff>
          <xdr:row>5</xdr:row>
          <xdr:rowOff>87630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68580</xdr:rowOff>
        </xdr:from>
        <xdr:to>
          <xdr:col>6</xdr:col>
          <xdr:colOff>438150</xdr:colOff>
          <xdr:row>4</xdr:row>
          <xdr:rowOff>87630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68580</xdr:rowOff>
        </xdr:from>
        <xdr:to>
          <xdr:col>13</xdr:col>
          <xdr:colOff>438150</xdr:colOff>
          <xdr:row>5</xdr:row>
          <xdr:rowOff>87630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437E004E-D85B-4180-8192-EF881663C86F}"/>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87630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544830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87630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9EE16ED9-10CE-4949-BF2F-73811EDA2E1C}"/>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11430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C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95250</xdr:rowOff>
        </xdr:from>
        <xdr:to>
          <xdr:col>7</xdr:col>
          <xdr:colOff>49530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49530</xdr:rowOff>
        </xdr:from>
        <xdr:to>
          <xdr:col>25</xdr:col>
          <xdr:colOff>361950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609600</xdr:colOff>
          <xdr:row>3</xdr:row>
          <xdr:rowOff>49530</xdr:rowOff>
        </xdr:from>
        <xdr:to>
          <xdr:col>7</xdr:col>
          <xdr:colOff>361950</xdr:colOff>
          <xdr:row>7</xdr:row>
          <xdr:rowOff>68580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9</xdr:col>
      <xdr:colOff>95250</xdr:colOff>
      <xdr:row>1</xdr:row>
      <xdr:rowOff>133350</xdr:rowOff>
    </xdr:from>
    <xdr:to>
      <xdr:col>17</xdr:col>
      <xdr:colOff>205740</xdr:colOff>
      <xdr:row>12</xdr:row>
      <xdr:rowOff>7620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85020" y="316230"/>
          <a:ext cx="5231130" cy="1885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ott/research/corps%20of%20engineers/tomcole/w2code/Version%204.5/DeGray%20Reservoir_ExcelControlFIle_4.5/w2_con_DeGray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of Sheets"/>
      <sheetName val="w2_con.csv"/>
      <sheetName val="Required Constituent Order"/>
      <sheetName val="w2_habitat.npt"/>
      <sheetName val="w2_diagenesis.npt"/>
      <sheetName val="w2_aerate.npt"/>
      <sheetName val="w2_envirprf.npt"/>
      <sheetName val="w2_selective.npt"/>
      <sheetName val="w2_constriction.csv"/>
      <sheetName val="w2_particle.csv"/>
      <sheetName val="w2_multiple_WB.npt"/>
      <sheetName val="w2_tecplotbr.csv"/>
      <sheetName val="w2_systdg.npt"/>
      <sheetName val="w2_TDGTarget.csv"/>
      <sheetName val="w2_lake_river_contour.csv"/>
      <sheetName val="w2_AlgaeMigration.csv"/>
      <sheetName val="w2_Algae_Toxin.csv"/>
      <sheetName val="sediment diagenesis numbers"/>
      <sheetName val="atm_deposition_wb1.csv"/>
    </sheetNames>
    <definedNames>
      <definedName name="Button4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tabSelected="1" workbookViewId="0">
      <selection activeCell="E19" sqref="E19"/>
    </sheetView>
  </sheetViews>
  <sheetFormatPr defaultRowHeight="14.4" x14ac:dyDescent="0.55000000000000004"/>
  <cols>
    <col min="2" max="2" width="26.41796875" bestFit="1" customWidth="1"/>
  </cols>
  <sheetData>
    <row r="2" spans="2:2" x14ac:dyDescent="0.55000000000000004">
      <c r="B2" t="s">
        <v>1599</v>
      </c>
    </row>
    <row r="3" spans="2:2" x14ac:dyDescent="0.55000000000000004">
      <c r="B3" s="86" t="s">
        <v>1600</v>
      </c>
    </row>
    <row r="4" spans="2:2" x14ac:dyDescent="0.55000000000000004">
      <c r="B4" s="87" t="s">
        <v>1601</v>
      </c>
    </row>
    <row r="5" spans="2:2" x14ac:dyDescent="0.55000000000000004">
      <c r="B5" s="88" t="s">
        <v>1602</v>
      </c>
    </row>
    <row r="6" spans="2:2" x14ac:dyDescent="0.55000000000000004">
      <c r="B6" s="89" t="s">
        <v>1603</v>
      </c>
    </row>
    <row r="7" spans="2:2" x14ac:dyDescent="0.55000000000000004">
      <c r="B7" s="88" t="s">
        <v>1604</v>
      </c>
    </row>
    <row r="8" spans="2:2" x14ac:dyDescent="0.55000000000000004">
      <c r="B8" s="88" t="s">
        <v>1605</v>
      </c>
    </row>
    <row r="9" spans="2:2" x14ac:dyDescent="0.55000000000000004">
      <c r="B9" s="88" t="s">
        <v>1606</v>
      </c>
    </row>
    <row r="10" spans="2:2" x14ac:dyDescent="0.55000000000000004">
      <c r="B10" s="88" t="s">
        <v>1607</v>
      </c>
    </row>
    <row r="11" spans="2:2" x14ac:dyDescent="0.55000000000000004">
      <c r="B11" s="88" t="s">
        <v>1608</v>
      </c>
    </row>
    <row r="12" spans="2:2" x14ac:dyDescent="0.55000000000000004">
      <c r="B12" s="88" t="s">
        <v>1609</v>
      </c>
    </row>
    <row r="13" spans="2:2" x14ac:dyDescent="0.55000000000000004">
      <c r="B13" s="88" t="s">
        <v>1610</v>
      </c>
    </row>
    <row r="14" spans="2:2" x14ac:dyDescent="0.55000000000000004">
      <c r="B14" s="125" t="s">
        <v>2231</v>
      </c>
    </row>
    <row r="15" spans="2:2" x14ac:dyDescent="0.55000000000000004">
      <c r="B15" s="123" t="s">
        <v>2172</v>
      </c>
    </row>
    <row r="16" spans="2:2" x14ac:dyDescent="0.55000000000000004">
      <c r="B16" s="123" t="s">
        <v>2173</v>
      </c>
    </row>
    <row r="17" spans="1:15" x14ac:dyDescent="0.55000000000000004">
      <c r="B17" s="123" t="s">
        <v>2174</v>
      </c>
    </row>
    <row r="18" spans="1:15" x14ac:dyDescent="0.55000000000000004">
      <c r="B18" s="125" t="s">
        <v>2232</v>
      </c>
    </row>
    <row r="19" spans="1:15" x14ac:dyDescent="0.55000000000000004">
      <c r="B19" s="88" t="s">
        <v>1611</v>
      </c>
    </row>
    <row r="22" spans="1:15" x14ac:dyDescent="0.55000000000000004">
      <c r="M22" s="78"/>
    </row>
    <row r="26" spans="1:15" x14ac:dyDescent="0.55000000000000004">
      <c r="A26" t="s">
        <v>1285</v>
      </c>
      <c r="M26" s="78"/>
    </row>
    <row r="27" spans="1:15" x14ac:dyDescent="0.55000000000000004">
      <c r="A27" t="s">
        <v>900</v>
      </c>
    </row>
    <row r="28" spans="1:15" x14ac:dyDescent="0.55000000000000004">
      <c r="A28" t="s">
        <v>901</v>
      </c>
    </row>
    <row r="30" spans="1:15" x14ac:dyDescent="0.55000000000000004">
      <c r="A30" t="s">
        <v>868</v>
      </c>
    </row>
    <row r="31" spans="1:15" x14ac:dyDescent="0.55000000000000004">
      <c r="A31" t="s">
        <v>869</v>
      </c>
      <c r="K31" s="21"/>
      <c r="L31" s="6" t="s">
        <v>541</v>
      </c>
      <c r="M31" s="6"/>
      <c r="N31" s="6"/>
      <c r="O31" s="6"/>
    </row>
    <row r="32" spans="1:15" x14ac:dyDescent="0.55000000000000004">
      <c r="A32" t="s">
        <v>896</v>
      </c>
      <c r="K32" s="13" t="s">
        <v>454</v>
      </c>
      <c r="L32" s="6" t="s">
        <v>451</v>
      </c>
      <c r="M32" s="5" t="s">
        <v>452</v>
      </c>
      <c r="N32" s="6" t="s">
        <v>170</v>
      </c>
      <c r="O32" s="6" t="s">
        <v>169</v>
      </c>
    </row>
    <row r="33" spans="1:15" x14ac:dyDescent="0.55000000000000004">
      <c r="A33" t="s">
        <v>1758</v>
      </c>
      <c r="K33" s="15">
        <v>1</v>
      </c>
      <c r="L33" s="7" t="s">
        <v>53</v>
      </c>
      <c r="M33" s="7" t="s">
        <v>669</v>
      </c>
      <c r="N33" s="7" t="s">
        <v>17</v>
      </c>
      <c r="O33" s="7" t="s">
        <v>109</v>
      </c>
    </row>
    <row r="34" spans="1:15" x14ac:dyDescent="0.55000000000000004">
      <c r="A34" t="s">
        <v>870</v>
      </c>
      <c r="K34" s="13">
        <v>2</v>
      </c>
      <c r="L34" s="7" t="s">
        <v>54</v>
      </c>
      <c r="M34" s="7" t="s">
        <v>670</v>
      </c>
      <c r="N34" s="7" t="s">
        <v>2</v>
      </c>
      <c r="O34" s="7" t="s">
        <v>109</v>
      </c>
    </row>
    <row r="35" spans="1:15" x14ac:dyDescent="0.55000000000000004">
      <c r="A35" t="s">
        <v>871</v>
      </c>
      <c r="K35" s="15">
        <v>3</v>
      </c>
      <c r="L35" s="7" t="s">
        <v>55</v>
      </c>
      <c r="M35" s="7" t="s">
        <v>671</v>
      </c>
      <c r="N35" s="7" t="s">
        <v>17</v>
      </c>
      <c r="O35" s="7" t="s">
        <v>109</v>
      </c>
    </row>
    <row r="36" spans="1:15" x14ac:dyDescent="0.55000000000000004">
      <c r="A36" t="s">
        <v>872</v>
      </c>
      <c r="K36" s="13">
        <v>4</v>
      </c>
      <c r="L36" s="7" t="s">
        <v>56</v>
      </c>
      <c r="M36" s="7" t="s">
        <v>672</v>
      </c>
      <c r="N36" s="7" t="s">
        <v>17</v>
      </c>
      <c r="O36" s="7" t="s">
        <v>109</v>
      </c>
    </row>
    <row r="37" spans="1:15" x14ac:dyDescent="0.55000000000000004">
      <c r="A37" t="s">
        <v>873</v>
      </c>
      <c r="K37" s="15">
        <v>5</v>
      </c>
      <c r="L37" s="7" t="s">
        <v>57</v>
      </c>
      <c r="M37" s="7" t="s">
        <v>673</v>
      </c>
      <c r="N37" s="7" t="s">
        <v>17</v>
      </c>
      <c r="O37" s="7" t="s">
        <v>109</v>
      </c>
    </row>
    <row r="38" spans="1:15" x14ac:dyDescent="0.55000000000000004">
      <c r="A38" t="s">
        <v>874</v>
      </c>
      <c r="K38" s="13">
        <v>6</v>
      </c>
      <c r="L38" s="7" t="s">
        <v>58</v>
      </c>
      <c r="M38" s="7" t="s">
        <v>674</v>
      </c>
      <c r="N38" s="7" t="s">
        <v>17</v>
      </c>
      <c r="O38" s="7" t="s">
        <v>109</v>
      </c>
    </row>
    <row r="39" spans="1:15" x14ac:dyDescent="0.55000000000000004">
      <c r="A39" t="s">
        <v>875</v>
      </c>
      <c r="K39" s="15">
        <v>7</v>
      </c>
      <c r="L39" s="7" t="s">
        <v>59</v>
      </c>
      <c r="M39" s="7" t="s">
        <v>675</v>
      </c>
      <c r="N39" s="7" t="s">
        <v>2</v>
      </c>
      <c r="O39" s="7" t="s">
        <v>109</v>
      </c>
    </row>
    <row r="40" spans="1:15" x14ac:dyDescent="0.55000000000000004">
      <c r="A40" t="s">
        <v>897</v>
      </c>
    </row>
    <row r="41" spans="1:15" x14ac:dyDescent="0.55000000000000004">
      <c r="A41" t="s">
        <v>898</v>
      </c>
    </row>
    <row r="42" spans="1:15" x14ac:dyDescent="0.55000000000000004">
      <c r="A42" t="s">
        <v>877</v>
      </c>
    </row>
    <row r="43" spans="1:15" x14ac:dyDescent="0.55000000000000004">
      <c r="A43" t="s">
        <v>1759</v>
      </c>
    </row>
    <row r="44" spans="1:15" x14ac:dyDescent="0.55000000000000004">
      <c r="A44" s="29" t="s">
        <v>899</v>
      </c>
    </row>
    <row r="45" spans="1:15" x14ac:dyDescent="0.55000000000000004">
      <c r="N45" t="s">
        <v>1760</v>
      </c>
    </row>
    <row r="46" spans="1:15" x14ac:dyDescent="0.55000000000000004">
      <c r="A46" t="s">
        <v>876</v>
      </c>
    </row>
    <row r="47" spans="1:15" x14ac:dyDescent="0.55000000000000004">
      <c r="A47" t="s">
        <v>1761</v>
      </c>
      <c r="N47" t="s">
        <v>1762</v>
      </c>
    </row>
    <row r="48" spans="1:15" x14ac:dyDescent="0.55000000000000004">
      <c r="M48">
        <v>1</v>
      </c>
      <c r="N48" s="74" t="s">
        <v>329</v>
      </c>
      <c r="O48" s="25" t="s">
        <v>112</v>
      </c>
    </row>
    <row r="49" spans="13:20" x14ac:dyDescent="0.55000000000000004">
      <c r="N49" s="13" t="s">
        <v>162</v>
      </c>
      <c r="O49" s="1" t="s">
        <v>949</v>
      </c>
      <c r="T49" t="str">
        <f>CHAR(34)&amp;O49&amp;CHAR(34)</f>
        <v>"Timestep violations [NVIOL]                "</v>
      </c>
    </row>
    <row r="50" spans="13:20" x14ac:dyDescent="0.55000000000000004">
      <c r="N50" s="13" t="s">
        <v>34</v>
      </c>
      <c r="O50" s="1" t="s">
        <v>1763</v>
      </c>
      <c r="T50" t="str">
        <f t="shared" ref="T50:T55" si="0">CHAR(34)&amp;O50&amp;CHAR(34)</f>
        <v>"Horizontal velocity [U], m/s               "</v>
      </c>
    </row>
    <row r="51" spans="13:20" x14ac:dyDescent="0.55000000000000004">
      <c r="N51" s="13" t="s">
        <v>35</v>
      </c>
      <c r="O51" s="1" t="s">
        <v>1764</v>
      </c>
      <c r="T51" t="str">
        <f t="shared" si="0"/>
        <v>"Vertical velocity [W], m/s                 "</v>
      </c>
    </row>
    <row r="52" spans="13:20" x14ac:dyDescent="0.55000000000000004">
      <c r="N52" s="13" t="s">
        <v>36</v>
      </c>
      <c r="O52" s="1" t="s">
        <v>1765</v>
      </c>
      <c r="T52" t="str">
        <f t="shared" si="0"/>
        <v>"Temperature [T1], &lt;o/&gt;C                    "</v>
      </c>
    </row>
    <row r="53" spans="13:20" x14ac:dyDescent="0.55000000000000004">
      <c r="N53" s="13" t="s">
        <v>37</v>
      </c>
      <c r="O53" s="1" t="s">
        <v>1766</v>
      </c>
      <c r="T53" t="str">
        <f t="shared" si="0"/>
        <v>"Density [RHO], kg/m^3                      "</v>
      </c>
    </row>
    <row r="54" spans="13:20" x14ac:dyDescent="0.55000000000000004">
      <c r="N54" s="13" t="s">
        <v>38</v>
      </c>
      <c r="O54" s="1" t="s">
        <v>1767</v>
      </c>
      <c r="T54" t="str">
        <f t="shared" si="0"/>
        <v>"Vertical eddy viscosity [AZ], m^2/s        "</v>
      </c>
    </row>
    <row r="55" spans="13:20" x14ac:dyDescent="0.55000000000000004">
      <c r="N55" s="13" t="s">
        <v>39</v>
      </c>
      <c r="O55" s="1" t="s">
        <v>1768</v>
      </c>
      <c r="T55" t="str">
        <f t="shared" si="0"/>
        <v>"Velocity shear stress [SHEAR], 1/s^2       "</v>
      </c>
    </row>
    <row r="56" spans="13:20" x14ac:dyDescent="0.55000000000000004">
      <c r="M56">
        <v>2</v>
      </c>
      <c r="N56" s="74" t="s">
        <v>454</v>
      </c>
      <c r="O56" s="6" t="s">
        <v>1769</v>
      </c>
      <c r="P56" s="5" t="s">
        <v>1770</v>
      </c>
    </row>
    <row r="57" spans="13:20" x14ac:dyDescent="0.55000000000000004">
      <c r="N57" s="15">
        <v>1</v>
      </c>
      <c r="O57" s="7" t="s">
        <v>961</v>
      </c>
      <c r="P57" s="7" t="s">
        <v>1771</v>
      </c>
      <c r="T57" t="str">
        <f>CHAR(34)&amp;P57&amp;CHAR(34)</f>
        <v>"TDS, g/m^3                                 "</v>
      </c>
    </row>
    <row r="58" spans="13:20" x14ac:dyDescent="0.55000000000000004">
      <c r="N58" s="13">
        <v>2</v>
      </c>
      <c r="O58" s="7" t="s">
        <v>962</v>
      </c>
      <c r="P58" s="7" t="s">
        <v>1772</v>
      </c>
      <c r="T58" t="str">
        <f t="shared" ref="T58:T63" si="1">CHAR(34)&amp;P58&amp;CHAR(34)</f>
        <v>"Age, days                                  "</v>
      </c>
    </row>
    <row r="59" spans="13:20" x14ac:dyDescent="0.55000000000000004">
      <c r="N59" s="15">
        <v>3</v>
      </c>
      <c r="O59" s="7" t="s">
        <v>963</v>
      </c>
      <c r="P59" s="7" t="s">
        <v>1773</v>
      </c>
      <c r="T59" t="str">
        <f t="shared" si="1"/>
        <v>"H2S-d, g/m^3                               "</v>
      </c>
    </row>
    <row r="60" spans="13:20" x14ac:dyDescent="0.55000000000000004">
      <c r="N60" s="13">
        <v>4</v>
      </c>
      <c r="O60" s="7" t="s">
        <v>964</v>
      </c>
      <c r="P60" s="7" t="s">
        <v>1774</v>
      </c>
      <c r="T60" t="str">
        <f t="shared" si="1"/>
        <v>"CH4-d, g/m^3                               "</v>
      </c>
    </row>
    <row r="61" spans="13:20" x14ac:dyDescent="0.55000000000000004">
      <c r="N61" s="15">
        <v>5</v>
      </c>
      <c r="O61" s="7" t="s">
        <v>1775</v>
      </c>
      <c r="P61" s="7" t="s">
        <v>1776</v>
      </c>
      <c r="T61" t="str">
        <f t="shared" si="1"/>
        <v>"SO4, g/m^3                                 "</v>
      </c>
    </row>
    <row r="62" spans="13:20" x14ac:dyDescent="0.55000000000000004">
      <c r="N62" s="13">
        <v>6</v>
      </c>
      <c r="O62" s="16" t="s">
        <v>1777</v>
      </c>
      <c r="P62" s="76" t="s">
        <v>1778</v>
      </c>
      <c r="T62" t="str">
        <f t="shared" si="1"/>
        <v>"Tracer, g/m^3                              "</v>
      </c>
    </row>
    <row r="63" spans="13:20" x14ac:dyDescent="0.55000000000000004">
      <c r="N63" s="15">
        <v>7</v>
      </c>
      <c r="O63" s="16" t="s">
        <v>1779</v>
      </c>
      <c r="P63" s="76" t="s">
        <v>1780</v>
      </c>
      <c r="T63" t="str">
        <f t="shared" si="1"/>
        <v>"Turbidity/1000, NTU                        "</v>
      </c>
    </row>
    <row r="64" spans="13:20" x14ac:dyDescent="0.55000000000000004">
      <c r="M64">
        <v>3</v>
      </c>
      <c r="N64" s="74" t="s">
        <v>1595</v>
      </c>
      <c r="O64" s="6" t="s">
        <v>456</v>
      </c>
      <c r="P64" s="6" t="s">
        <v>114</v>
      </c>
    </row>
    <row r="65" spans="13:20" x14ac:dyDescent="0.55000000000000004">
      <c r="N65" s="13"/>
      <c r="O65" s="7" t="s">
        <v>989</v>
      </c>
      <c r="P65" s="7" t="s">
        <v>990</v>
      </c>
      <c r="T65" t="str">
        <f>CHAR(34)&amp;P65&amp;CHAR(34)</f>
        <v>"Dissolved organic carbon, g/m^3            "</v>
      </c>
    </row>
    <row r="66" spans="13:20" x14ac:dyDescent="0.55000000000000004">
      <c r="N66" s="13"/>
      <c r="O66" s="7" t="s">
        <v>991</v>
      </c>
      <c r="P66" s="7" t="s">
        <v>992</v>
      </c>
      <c r="T66" t="str">
        <f t="shared" ref="T66:T69" si="2">CHAR(34)&amp;P66&amp;CHAR(34)</f>
        <v>"Particulate organic carbon, g/m^3          "</v>
      </c>
    </row>
    <row r="67" spans="13:20" x14ac:dyDescent="0.55000000000000004">
      <c r="N67" s="13"/>
      <c r="O67" s="7" t="s">
        <v>993</v>
      </c>
      <c r="P67" s="7" t="s">
        <v>994</v>
      </c>
      <c r="T67" t="str">
        <f t="shared" si="2"/>
        <v>"Total organic carbon, g/m^3                "</v>
      </c>
    </row>
    <row r="68" spans="13:20" x14ac:dyDescent="0.55000000000000004">
      <c r="N68" s="13"/>
      <c r="O68" s="7" t="s">
        <v>995</v>
      </c>
      <c r="P68" s="7" t="s">
        <v>996</v>
      </c>
      <c r="T68" t="str">
        <f t="shared" si="2"/>
        <v>"Dissolved organic nitrogen, g/m^3          "</v>
      </c>
    </row>
    <row r="69" spans="13:20" x14ac:dyDescent="0.55000000000000004">
      <c r="N69" s="13"/>
      <c r="O69" s="7" t="s">
        <v>997</v>
      </c>
      <c r="P69" s="7" t="s">
        <v>998</v>
      </c>
      <c r="T69" t="str">
        <f t="shared" si="2"/>
        <v>"Particulate organic nitrogen, g/m^3        "</v>
      </c>
    </row>
    <row r="70" spans="13:20" x14ac:dyDescent="0.55000000000000004">
      <c r="M70">
        <v>4</v>
      </c>
      <c r="N70" s="74" t="s">
        <v>0</v>
      </c>
      <c r="O70" s="42" t="s">
        <v>918</v>
      </c>
    </row>
    <row r="71" spans="13:20" x14ac:dyDescent="0.55000000000000004">
      <c r="N71" s="13" t="s">
        <v>424</v>
      </c>
      <c r="O71" s="7" t="s">
        <v>1781</v>
      </c>
      <c r="T71" t="str">
        <f>CHAR(34)&amp;O71&amp;CHAR(34)</f>
        <v>"CE-QUAL-W2 Model / Version 4.5"</v>
      </c>
    </row>
    <row r="72" spans="13:20" x14ac:dyDescent="0.55000000000000004">
      <c r="N72" s="13"/>
      <c r="O72" s="7" t="s">
        <v>1782</v>
      </c>
      <c r="T72" t="str">
        <f t="shared" ref="T72:T80" si="3">CHAR(34)&amp;O72&amp;CHAR(34)</f>
        <v>"Oxbow Reservoir"</v>
      </c>
    </row>
    <row r="73" spans="13:20" x14ac:dyDescent="0.55000000000000004">
      <c r="N73" s="13"/>
      <c r="O73" s="7" t="s">
        <v>1783</v>
      </c>
      <c r="T73" t="str">
        <f t="shared" si="3"/>
        <v>"2014-2018"</v>
      </c>
    </row>
    <row r="74" spans="13:20" x14ac:dyDescent="0.55000000000000004">
      <c r="N74" s="13"/>
      <c r="O74" s="7"/>
      <c r="T74" t="str">
        <f t="shared" si="3"/>
        <v>""</v>
      </c>
    </row>
    <row r="75" spans="13:20" x14ac:dyDescent="0.55000000000000004">
      <c r="N75" s="13"/>
      <c r="O75" s="7"/>
      <c r="T75" t="str">
        <f t="shared" si="3"/>
        <v>""</v>
      </c>
    </row>
    <row r="76" spans="13:20" x14ac:dyDescent="0.55000000000000004">
      <c r="N76" s="13"/>
      <c r="O76" s="7"/>
      <c r="T76" t="str">
        <f t="shared" si="3"/>
        <v>""</v>
      </c>
    </row>
    <row r="77" spans="13:20" x14ac:dyDescent="0.55000000000000004">
      <c r="N77" s="13"/>
      <c r="O77" s="7" t="s">
        <v>1784</v>
      </c>
      <c r="T77" t="str">
        <f t="shared" si="3"/>
        <v>"Scott Wells and Chris Berger"</v>
      </c>
    </row>
    <row r="78" spans="13:20" x14ac:dyDescent="0.55000000000000004">
      <c r="N78" s="13"/>
      <c r="O78" s="7"/>
      <c r="T78" t="str">
        <f t="shared" si="3"/>
        <v>""</v>
      </c>
    </row>
    <row r="79" spans="13:20" x14ac:dyDescent="0.55000000000000004">
      <c r="N79" s="13"/>
      <c r="O79" s="7"/>
      <c r="T79" t="str">
        <f t="shared" si="3"/>
        <v>""</v>
      </c>
    </row>
    <row r="80" spans="13:20" x14ac:dyDescent="0.55000000000000004">
      <c r="N80" s="13"/>
      <c r="O80" s="7"/>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19" location="atm_deposition_wb1.csv!A1" display="atm_deposition_wb1.csv!A1" xr:uid="{663B3F39-0C8A-4973-88AB-CD69AE156E8B}"/>
    <hyperlink ref="B15" location="w2_lake_river_contour.csv!A1" display="w2_lake_river_contour.csv!A1" xr:uid="{ACF1B79C-4AC1-4529-95F6-B74900193882}"/>
    <hyperlink ref="B16" location="w2_AlgaeMigration.csv!A1" display="w2_AlgaeMigration.csv!A1" xr:uid="{6D0C4248-CADC-405C-B968-C87505974011}"/>
    <hyperlink ref="B17" location="w2_Algae_Toxin.csv!A1" display="w2_Algae_Toxin.csv!A1" xr:uid="{25CFEA7A-D8B5-48C3-8DA9-451B3A2D12B1}"/>
    <hyperlink ref="B14" location="w2_diagenesis.npt!A1" display="w2_diagenesis.npt!A1" xr:uid="{514124F1-2F79-482D-A87C-4CCA59746A50}"/>
    <hyperlink ref="B18" location="w2_TDGTarget.csv!A1" display="w2_TDGTarget.csv!A1" xr:uid="{227AB548-C2F4-4499-87C4-0EF4E543509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1046"/>
  <sheetViews>
    <sheetView zoomScale="90" zoomScaleNormal="90" workbookViewId="0">
      <selection activeCell="C22" sqref="C22"/>
    </sheetView>
  </sheetViews>
  <sheetFormatPr defaultRowHeight="14.4" x14ac:dyDescent="0.55000000000000004"/>
  <cols>
    <col min="1" max="1" width="41.1015625" style="30" customWidth="1"/>
    <col min="2" max="2" width="41.41796875" style="15" customWidth="1"/>
    <col min="3" max="3" width="12.05078125" customWidth="1"/>
    <col min="4" max="4" width="12.20703125" customWidth="1"/>
    <col min="7" max="7" width="9.26171875" customWidth="1"/>
    <col min="8" max="8" width="9.9453125" customWidth="1"/>
    <col min="14" max="14" width="7.734375" customWidth="1"/>
    <col min="15" max="15" width="9.68359375" customWidth="1"/>
    <col min="25" max="25" width="8.83984375" customWidth="1"/>
    <col min="28" max="28" width="8.05078125" customWidth="1"/>
  </cols>
  <sheetData>
    <row r="1" spans="1:14" x14ac:dyDescent="0.55000000000000004">
      <c r="A1" s="30" t="s">
        <v>881</v>
      </c>
      <c r="B1" s="24" t="s">
        <v>390</v>
      </c>
      <c r="C1" s="6" t="s">
        <v>144</v>
      </c>
      <c r="D1" s="6">
        <v>4.5</v>
      </c>
      <c r="E1" s="6"/>
      <c r="F1" s="6"/>
      <c r="G1" s="6"/>
      <c r="H1" s="6"/>
      <c r="I1" s="6"/>
      <c r="J1" s="6"/>
      <c r="K1" s="6"/>
      <c r="L1" s="6"/>
      <c r="M1" s="93"/>
    </row>
    <row r="2" spans="1:14" x14ac:dyDescent="0.55000000000000004">
      <c r="B2" s="21"/>
      <c r="C2" s="6" t="s">
        <v>668</v>
      </c>
      <c r="D2" s="6">
        <v>4.5</v>
      </c>
      <c r="E2" s="6"/>
      <c r="F2" s="6"/>
      <c r="G2" s="6"/>
      <c r="H2" s="6"/>
      <c r="I2" s="6"/>
      <c r="J2" s="6"/>
      <c r="K2" s="6"/>
      <c r="L2" s="6"/>
      <c r="M2" s="93"/>
    </row>
    <row r="3" spans="1:14" x14ac:dyDescent="0.55000000000000004">
      <c r="A3" s="31" t="s">
        <v>902</v>
      </c>
      <c r="B3" s="74" t="s">
        <v>0</v>
      </c>
      <c r="C3" s="42" t="s">
        <v>918</v>
      </c>
      <c r="D3" s="6"/>
      <c r="E3" s="6"/>
      <c r="F3" s="6"/>
      <c r="G3" s="6"/>
      <c r="H3" s="6"/>
      <c r="I3" s="6"/>
      <c r="J3" s="6"/>
      <c r="K3" s="6"/>
      <c r="L3" s="6"/>
      <c r="M3" s="93"/>
    </row>
    <row r="4" spans="1:14" x14ac:dyDescent="0.55000000000000004">
      <c r="A4" s="31" t="s">
        <v>904</v>
      </c>
      <c r="B4" s="13" t="s">
        <v>424</v>
      </c>
      <c r="C4" s="7" t="s">
        <v>1845</v>
      </c>
      <c r="D4" s="6"/>
      <c r="E4" s="6"/>
      <c r="F4" s="6"/>
      <c r="G4" s="6"/>
      <c r="H4" s="6"/>
      <c r="I4" s="6"/>
      <c r="J4" s="6"/>
      <c r="K4" s="6"/>
      <c r="L4" s="6"/>
      <c r="M4" s="93"/>
      <c r="N4" s="11"/>
    </row>
    <row r="5" spans="1:14" x14ac:dyDescent="0.55000000000000004">
      <c r="A5" s="31" t="s">
        <v>903</v>
      </c>
      <c r="B5" s="13"/>
      <c r="C5" s="7" t="s">
        <v>1788</v>
      </c>
      <c r="D5" s="6"/>
      <c r="E5" s="6"/>
      <c r="F5" s="6"/>
      <c r="G5" s="6"/>
      <c r="H5" s="6"/>
      <c r="I5" s="6"/>
      <c r="J5" s="6"/>
      <c r="K5" s="6"/>
      <c r="L5" s="6"/>
      <c r="M5" s="93"/>
      <c r="N5" s="11"/>
    </row>
    <row r="6" spans="1:14" x14ac:dyDescent="0.55000000000000004">
      <c r="A6" s="31" t="s">
        <v>542</v>
      </c>
      <c r="B6" s="13"/>
      <c r="C6" s="7" t="s">
        <v>1789</v>
      </c>
      <c r="D6" s="6"/>
      <c r="E6" s="6"/>
      <c r="F6" s="6"/>
      <c r="G6" s="6"/>
      <c r="H6" s="6"/>
      <c r="I6" s="6"/>
      <c r="J6" s="6"/>
      <c r="K6" s="6"/>
      <c r="L6" s="6"/>
      <c r="M6" s="93"/>
      <c r="N6" s="11"/>
    </row>
    <row r="7" spans="1:14" x14ac:dyDescent="0.55000000000000004">
      <c r="A7" s="30" t="s">
        <v>267</v>
      </c>
      <c r="B7" s="13"/>
      <c r="C7" s="7" t="s">
        <v>1848</v>
      </c>
      <c r="D7" s="6"/>
      <c r="E7" s="6"/>
      <c r="F7" s="6"/>
      <c r="G7" s="6"/>
      <c r="H7" s="6"/>
      <c r="I7" s="6"/>
      <c r="J7" s="6"/>
      <c r="K7" s="6"/>
      <c r="L7" s="6"/>
      <c r="M7" s="93"/>
      <c r="N7" s="11"/>
    </row>
    <row r="8" spans="1:14" x14ac:dyDescent="0.55000000000000004">
      <c r="A8" s="30" t="s">
        <v>268</v>
      </c>
      <c r="B8" s="13"/>
      <c r="C8" s="7" t="s">
        <v>1790</v>
      </c>
      <c r="D8" s="6"/>
      <c r="E8" s="6"/>
      <c r="F8" s="6"/>
      <c r="G8" s="6"/>
      <c r="H8" s="6"/>
      <c r="I8" s="6"/>
      <c r="J8" s="6"/>
      <c r="K8" s="6"/>
      <c r="L8" s="6"/>
      <c r="M8" s="93"/>
      <c r="N8" s="11"/>
    </row>
    <row r="9" spans="1:14" x14ac:dyDescent="0.55000000000000004">
      <c r="A9" s="30" t="s">
        <v>269</v>
      </c>
      <c r="B9" s="13"/>
      <c r="C9" s="7" t="s">
        <v>1138</v>
      </c>
      <c r="D9" s="6"/>
      <c r="E9" s="6"/>
      <c r="F9" s="6"/>
      <c r="G9" s="6"/>
      <c r="H9" s="6"/>
      <c r="I9" s="6"/>
      <c r="J9" s="6"/>
      <c r="K9" s="6"/>
      <c r="L9" s="6"/>
      <c r="M9" s="93"/>
      <c r="N9" s="11"/>
    </row>
    <row r="10" spans="1:14" x14ac:dyDescent="0.55000000000000004">
      <c r="A10" s="30" t="s">
        <v>270</v>
      </c>
      <c r="B10" s="13"/>
      <c r="C10" s="7" t="s">
        <v>1138</v>
      </c>
      <c r="D10" s="6"/>
      <c r="E10" s="6"/>
      <c r="F10" s="6"/>
      <c r="G10" s="6"/>
      <c r="H10" s="6"/>
      <c r="I10" s="6"/>
      <c r="J10" s="6"/>
      <c r="K10" s="6"/>
      <c r="L10" s="6"/>
      <c r="M10" s="93"/>
      <c r="N10" s="11"/>
    </row>
    <row r="11" spans="1:14" x14ac:dyDescent="0.55000000000000004">
      <c r="A11" s="30" t="s">
        <v>271</v>
      </c>
      <c r="B11" s="13"/>
      <c r="C11" s="7" t="s">
        <v>1138</v>
      </c>
      <c r="D11" s="6"/>
      <c r="E11" s="6"/>
      <c r="F11" s="6"/>
      <c r="G11" s="6"/>
      <c r="H11" s="6"/>
      <c r="I11" s="6"/>
      <c r="J11" s="6"/>
      <c r="K11" s="6"/>
      <c r="L11" s="6"/>
      <c r="M11" s="93"/>
      <c r="N11" s="11"/>
    </row>
    <row r="12" spans="1:14" x14ac:dyDescent="0.55000000000000004">
      <c r="A12" s="30" t="s">
        <v>272</v>
      </c>
      <c r="B12" s="13"/>
      <c r="C12" s="7" t="s">
        <v>1787</v>
      </c>
      <c r="D12" s="6"/>
      <c r="E12" s="6"/>
      <c r="F12" s="6"/>
      <c r="G12" s="6"/>
      <c r="H12" s="6"/>
      <c r="I12" s="6"/>
      <c r="J12" s="6"/>
      <c r="K12" s="6"/>
      <c r="L12" s="6"/>
      <c r="M12" s="93"/>
      <c r="N12" s="11"/>
    </row>
    <row r="13" spans="1:14" x14ac:dyDescent="0.55000000000000004">
      <c r="A13" s="30" t="s">
        <v>273</v>
      </c>
      <c r="B13" s="13"/>
      <c r="C13" s="7" t="s">
        <v>1850</v>
      </c>
      <c r="D13" s="6"/>
      <c r="E13" s="6"/>
      <c r="F13" s="6"/>
      <c r="G13" s="6"/>
      <c r="H13" s="6"/>
      <c r="I13" s="6"/>
      <c r="J13" s="6"/>
      <c r="K13" s="6"/>
      <c r="L13" s="6"/>
      <c r="M13" s="93"/>
      <c r="N13" s="11"/>
    </row>
    <row r="14" spans="1:14" x14ac:dyDescent="0.55000000000000004">
      <c r="A14" s="30" t="s">
        <v>274</v>
      </c>
      <c r="B14" s="21"/>
      <c r="C14" s="6" t="s">
        <v>394</v>
      </c>
      <c r="D14" s="6"/>
      <c r="E14" s="6"/>
      <c r="F14" s="6"/>
      <c r="G14" s="6"/>
      <c r="H14" s="6"/>
      <c r="I14" s="6"/>
      <c r="J14" s="6"/>
      <c r="K14" s="6"/>
      <c r="L14" s="6"/>
      <c r="M14" s="93"/>
    </row>
    <row r="15" spans="1:14" x14ac:dyDescent="0.55000000000000004">
      <c r="A15" s="30" t="s">
        <v>275</v>
      </c>
      <c r="B15" s="74" t="s">
        <v>192</v>
      </c>
      <c r="C15" s="25" t="s">
        <v>1</v>
      </c>
      <c r="D15" s="6" t="s">
        <v>919</v>
      </c>
      <c r="E15" s="6" t="s">
        <v>920</v>
      </c>
      <c r="F15" s="6" t="s">
        <v>921</v>
      </c>
      <c r="G15" s="6" t="s">
        <v>922</v>
      </c>
      <c r="H15" s="6" t="s">
        <v>923</v>
      </c>
      <c r="I15" s="6"/>
      <c r="J15" s="6"/>
      <c r="K15" s="6"/>
      <c r="L15" s="6"/>
      <c r="M15" s="93"/>
    </row>
    <row r="16" spans="1:14" x14ac:dyDescent="0.55000000000000004">
      <c r="A16" s="30" t="s">
        <v>276</v>
      </c>
      <c r="B16" s="13"/>
      <c r="C16" s="7">
        <v>1</v>
      </c>
      <c r="D16" s="7">
        <v>1</v>
      </c>
      <c r="E16" s="7">
        <v>77</v>
      </c>
      <c r="F16" s="7">
        <v>56</v>
      </c>
      <c r="G16" s="7">
        <v>1</v>
      </c>
      <c r="H16" s="7" t="s">
        <v>1621</v>
      </c>
      <c r="I16" s="6"/>
      <c r="J16" s="6"/>
      <c r="K16" s="6"/>
      <c r="L16" s="6"/>
      <c r="M16" s="93"/>
    </row>
    <row r="17" spans="1:23" x14ac:dyDescent="0.55000000000000004">
      <c r="A17" s="30" t="s">
        <v>277</v>
      </c>
      <c r="B17" s="21"/>
      <c r="C17" s="6" t="s">
        <v>394</v>
      </c>
      <c r="D17" s="6"/>
      <c r="E17" s="6"/>
      <c r="F17" s="6"/>
      <c r="G17" s="6"/>
      <c r="H17" s="6"/>
      <c r="I17" s="6"/>
      <c r="J17" s="6"/>
      <c r="K17" s="6"/>
      <c r="L17" s="6"/>
      <c r="M17" s="93"/>
    </row>
    <row r="18" spans="1:23" x14ac:dyDescent="0.55000000000000004">
      <c r="A18" s="30" t="s">
        <v>278</v>
      </c>
      <c r="B18" s="74" t="s">
        <v>191</v>
      </c>
      <c r="C18" s="25" t="s">
        <v>3</v>
      </c>
      <c r="D18" s="6" t="s">
        <v>925</v>
      </c>
      <c r="E18" s="6" t="s">
        <v>926</v>
      </c>
      <c r="F18" s="6" t="s">
        <v>927</v>
      </c>
      <c r="G18" s="6" t="s">
        <v>928</v>
      </c>
      <c r="H18" s="6" t="s">
        <v>929</v>
      </c>
      <c r="I18" s="6" t="s">
        <v>930</v>
      </c>
      <c r="J18" s="6" t="s">
        <v>931</v>
      </c>
      <c r="K18" s="6"/>
      <c r="L18" s="6"/>
      <c r="M18" s="93"/>
    </row>
    <row r="19" spans="1:23" x14ac:dyDescent="0.55000000000000004">
      <c r="A19" s="30" t="s">
        <v>279</v>
      </c>
      <c r="B19" s="13"/>
      <c r="C19" s="7">
        <v>0</v>
      </c>
      <c r="D19" s="7">
        <v>0</v>
      </c>
      <c r="E19" s="7">
        <v>0</v>
      </c>
      <c r="F19" s="7">
        <v>0</v>
      </c>
      <c r="G19" s="7">
        <v>20</v>
      </c>
      <c r="H19" s="7">
        <v>0</v>
      </c>
      <c r="I19" s="7">
        <v>0</v>
      </c>
      <c r="J19" s="7">
        <v>0</v>
      </c>
      <c r="K19" s="6"/>
      <c r="L19" s="6"/>
      <c r="M19" s="93"/>
    </row>
    <row r="20" spans="1:23" x14ac:dyDescent="0.55000000000000004">
      <c r="A20" s="30" t="s">
        <v>280</v>
      </c>
      <c r="B20" s="21"/>
      <c r="C20" s="6" t="s">
        <v>394</v>
      </c>
      <c r="D20" s="6"/>
      <c r="E20" s="6"/>
      <c r="F20" s="6"/>
      <c r="G20" s="6"/>
      <c r="H20" s="6"/>
      <c r="I20" s="6"/>
      <c r="J20" s="6"/>
      <c r="K20" s="6"/>
      <c r="L20" s="6"/>
      <c r="M20" s="93"/>
    </row>
    <row r="21" spans="1:23" x14ac:dyDescent="0.55000000000000004">
      <c r="A21" s="30" t="s">
        <v>281</v>
      </c>
      <c r="B21" s="74" t="s">
        <v>190</v>
      </c>
      <c r="C21" s="25" t="s">
        <v>4</v>
      </c>
      <c r="D21" s="6" t="s">
        <v>932</v>
      </c>
      <c r="E21" s="6" t="s">
        <v>933</v>
      </c>
      <c r="F21" s="6" t="s">
        <v>934</v>
      </c>
      <c r="G21" s="6" t="s">
        <v>935</v>
      </c>
      <c r="H21" s="6" t="s">
        <v>936</v>
      </c>
      <c r="I21" s="6" t="s">
        <v>937</v>
      </c>
      <c r="J21" s="6"/>
      <c r="K21" s="6"/>
      <c r="L21" s="6"/>
      <c r="M21" s="93"/>
    </row>
    <row r="22" spans="1:23" x14ac:dyDescent="0.55000000000000004">
      <c r="A22" s="33" t="s">
        <v>878</v>
      </c>
      <c r="B22" s="13"/>
      <c r="C22" s="7">
        <v>0</v>
      </c>
      <c r="D22" s="7">
        <v>0</v>
      </c>
      <c r="E22" s="7">
        <v>0</v>
      </c>
      <c r="F22" s="7">
        <v>0</v>
      </c>
      <c r="G22" s="7">
        <v>0</v>
      </c>
      <c r="H22" s="7">
        <v>0</v>
      </c>
      <c r="I22" s="7">
        <v>0</v>
      </c>
      <c r="J22" s="6"/>
      <c r="K22" s="6"/>
      <c r="L22" s="6"/>
      <c r="M22" s="93"/>
    </row>
    <row r="23" spans="1:23" x14ac:dyDescent="0.55000000000000004">
      <c r="A23" s="32" t="s">
        <v>862</v>
      </c>
      <c r="B23" s="21"/>
      <c r="C23" s="6" t="s">
        <v>394</v>
      </c>
      <c r="D23" s="6"/>
      <c r="E23" s="6"/>
      <c r="F23" s="6"/>
      <c r="G23" s="6"/>
      <c r="H23" s="6"/>
      <c r="I23" s="6"/>
      <c r="J23" s="6"/>
      <c r="K23" s="6"/>
      <c r="L23" s="6"/>
      <c r="M23" s="93"/>
    </row>
    <row r="24" spans="1:23" x14ac:dyDescent="0.55000000000000004">
      <c r="A24" s="32" t="s">
        <v>863</v>
      </c>
      <c r="B24" s="74" t="s">
        <v>193</v>
      </c>
      <c r="C24" s="25" t="s">
        <v>11</v>
      </c>
      <c r="D24" s="6" t="s">
        <v>12</v>
      </c>
      <c r="E24" s="6" t="s">
        <v>13</v>
      </c>
      <c r="F24" s="6" t="s">
        <v>14</v>
      </c>
      <c r="G24" s="6" t="s">
        <v>15</v>
      </c>
      <c r="H24" s="6" t="s">
        <v>16</v>
      </c>
      <c r="I24" s="6" t="s">
        <v>1531</v>
      </c>
      <c r="J24" s="6" t="s">
        <v>1861</v>
      </c>
      <c r="K24" s="6"/>
      <c r="L24" s="6"/>
      <c r="M24" s="93"/>
    </row>
    <row r="25" spans="1:23" x14ac:dyDescent="0.55000000000000004">
      <c r="A25" s="32" t="s">
        <v>864</v>
      </c>
      <c r="B25" s="13"/>
      <c r="C25" s="7">
        <v>100</v>
      </c>
      <c r="D25" s="7" t="s">
        <v>17</v>
      </c>
      <c r="E25" s="7" t="s">
        <v>924</v>
      </c>
      <c r="F25" s="7" t="s">
        <v>924</v>
      </c>
      <c r="G25" s="7" t="s">
        <v>924</v>
      </c>
      <c r="H25" s="7" t="s">
        <v>924</v>
      </c>
      <c r="I25" s="7" t="s">
        <v>17</v>
      </c>
      <c r="J25" s="7" t="s">
        <v>17</v>
      </c>
      <c r="K25" s="6"/>
      <c r="L25" s="6"/>
      <c r="M25" s="93"/>
    </row>
    <row r="26" spans="1:23" x14ac:dyDescent="0.55000000000000004">
      <c r="A26" s="32" t="s">
        <v>865</v>
      </c>
      <c r="B26" s="21"/>
      <c r="C26" s="6" t="s">
        <v>394</v>
      </c>
      <c r="D26" s="6"/>
      <c r="E26" s="6"/>
      <c r="F26" s="12"/>
      <c r="G26" s="6"/>
      <c r="H26" s="6"/>
      <c r="I26" s="6"/>
      <c r="J26" s="6"/>
      <c r="K26" s="6"/>
      <c r="L26" s="6"/>
      <c r="M26" s="93"/>
      <c r="N26" s="11"/>
      <c r="O26" s="11"/>
      <c r="P26" s="11"/>
      <c r="Q26" s="28"/>
      <c r="R26" s="28"/>
      <c r="S26" s="28"/>
      <c r="T26" s="28"/>
      <c r="U26" s="28"/>
      <c r="V26" s="28"/>
      <c r="W26" s="28"/>
    </row>
    <row r="27" spans="1:23" x14ac:dyDescent="0.55000000000000004">
      <c r="A27" s="32" t="s">
        <v>866</v>
      </c>
      <c r="B27" s="74" t="s">
        <v>18</v>
      </c>
      <c r="C27" s="25" t="s">
        <v>19</v>
      </c>
      <c r="D27" s="6" t="s">
        <v>938</v>
      </c>
      <c r="E27" s="6" t="s">
        <v>20</v>
      </c>
      <c r="F27" s="12"/>
      <c r="G27" s="6"/>
      <c r="H27" s="6"/>
      <c r="I27" s="6"/>
      <c r="J27" s="6"/>
      <c r="K27" s="6"/>
      <c r="L27" s="6"/>
      <c r="M27" s="93"/>
    </row>
    <row r="28" spans="1:23" x14ac:dyDescent="0.55000000000000004">
      <c r="A28" s="32" t="s">
        <v>867</v>
      </c>
      <c r="B28" s="13" t="s">
        <v>1440</v>
      </c>
      <c r="C28" s="65">
        <f>A32-DATEVALUE("1/1/"&amp;E28)+1</f>
        <v>40544</v>
      </c>
      <c r="D28" s="65">
        <f>A34-DATEVALUE("1/1/"&amp;E28)+1</f>
        <v>40909</v>
      </c>
      <c r="E28" s="7">
        <v>1900</v>
      </c>
      <c r="F28" s="5"/>
      <c r="G28" s="6"/>
      <c r="H28" s="6"/>
      <c r="I28" s="6"/>
      <c r="J28" s="6"/>
      <c r="K28" s="6"/>
      <c r="L28" s="6"/>
      <c r="M28" s="93"/>
      <c r="N28" s="64"/>
      <c r="O28" s="64"/>
      <c r="P28" s="27"/>
    </row>
    <row r="29" spans="1:23" x14ac:dyDescent="0.55000000000000004">
      <c r="A29" s="54" t="s">
        <v>1532</v>
      </c>
      <c r="B29" s="21"/>
      <c r="C29" s="6" t="s">
        <v>394</v>
      </c>
      <c r="D29" s="6"/>
      <c r="E29" s="6"/>
      <c r="F29" s="6"/>
      <c r="G29" s="6"/>
      <c r="H29" s="6"/>
      <c r="I29" s="6"/>
      <c r="J29" s="6"/>
      <c r="K29" s="6"/>
      <c r="L29" s="6"/>
      <c r="M29" s="93"/>
      <c r="P29" s="27"/>
    </row>
    <row r="30" spans="1:23" x14ac:dyDescent="0.55000000000000004">
      <c r="A30" s="66" t="s">
        <v>1439</v>
      </c>
      <c r="B30" s="74" t="s">
        <v>21</v>
      </c>
      <c r="C30" s="25" t="s">
        <v>334</v>
      </c>
      <c r="D30" s="6" t="s">
        <v>22</v>
      </c>
      <c r="E30" s="6" t="s">
        <v>939</v>
      </c>
      <c r="F30" s="6"/>
      <c r="G30" s="6"/>
      <c r="H30" s="6"/>
      <c r="I30" s="6"/>
      <c r="J30" s="6"/>
      <c r="K30" s="6"/>
      <c r="L30" s="6"/>
      <c r="M30" s="93"/>
      <c r="P30" s="27"/>
    </row>
    <row r="31" spans="1:23" x14ac:dyDescent="0.55000000000000004">
      <c r="A31" s="66" t="s">
        <v>19</v>
      </c>
      <c r="B31" s="13" t="s">
        <v>389</v>
      </c>
      <c r="C31" s="7">
        <v>1</v>
      </c>
      <c r="D31" s="7">
        <v>1</v>
      </c>
      <c r="E31" s="7" t="s">
        <v>924</v>
      </c>
      <c r="F31" s="6"/>
      <c r="G31" s="6"/>
      <c r="H31" s="6"/>
      <c r="I31" s="6"/>
      <c r="J31" s="6"/>
      <c r="K31" s="6"/>
      <c r="L31" s="6"/>
      <c r="M31" s="93"/>
      <c r="P31" s="27"/>
    </row>
    <row r="32" spans="1:23" x14ac:dyDescent="0.55000000000000004">
      <c r="A32" s="67">
        <v>40544</v>
      </c>
      <c r="B32" s="21"/>
      <c r="C32" s="6" t="s">
        <v>394</v>
      </c>
      <c r="D32" s="6"/>
      <c r="E32" s="6"/>
      <c r="F32" s="6"/>
      <c r="G32" s="6"/>
      <c r="H32" s="6"/>
      <c r="I32" s="6"/>
      <c r="J32" s="6"/>
      <c r="K32" s="6"/>
      <c r="L32" s="6"/>
      <c r="M32" s="93"/>
      <c r="O32" s="27"/>
      <c r="P32" s="27"/>
    </row>
    <row r="33" spans="1:22" x14ac:dyDescent="0.55000000000000004">
      <c r="A33" s="66" t="s">
        <v>1438</v>
      </c>
      <c r="B33" s="74" t="s">
        <v>23</v>
      </c>
      <c r="C33" s="6" t="s">
        <v>24</v>
      </c>
      <c r="D33" s="6"/>
      <c r="E33" s="6"/>
      <c r="F33" s="6"/>
      <c r="G33" s="6"/>
      <c r="H33" s="6"/>
      <c r="I33" s="6"/>
      <c r="J33" s="6"/>
      <c r="K33" s="6"/>
      <c r="L33" s="6"/>
      <c r="M33" s="93"/>
      <c r="O33" s="27"/>
      <c r="P33" s="27"/>
    </row>
    <row r="34" spans="1:22" x14ac:dyDescent="0.55000000000000004">
      <c r="A34" s="68">
        <v>40909</v>
      </c>
      <c r="B34" s="13" t="s">
        <v>237</v>
      </c>
      <c r="C34" s="7">
        <v>1</v>
      </c>
      <c r="D34" s="6"/>
      <c r="E34" s="6"/>
      <c r="F34" s="6"/>
      <c r="G34" s="6"/>
      <c r="H34" s="6"/>
      <c r="I34" s="6"/>
      <c r="J34" s="6"/>
      <c r="K34" s="6"/>
      <c r="L34" s="6"/>
      <c r="M34" s="93"/>
    </row>
    <row r="35" spans="1:22" x14ac:dyDescent="0.55000000000000004">
      <c r="A35" s="91">
        <f>A32-DATEVALUE("1/1/"&amp;A38)+1</f>
        <v>1</v>
      </c>
      <c r="B35" s="21"/>
      <c r="C35" s="6" t="s">
        <v>394</v>
      </c>
      <c r="D35" s="6"/>
      <c r="E35" s="6"/>
      <c r="F35" s="6"/>
      <c r="G35" s="6"/>
      <c r="H35" s="6"/>
      <c r="I35" s="6"/>
      <c r="J35" s="6"/>
      <c r="K35" s="6"/>
      <c r="L35" s="6"/>
      <c r="M35" s="93"/>
      <c r="O35" s="2"/>
      <c r="P35" s="2"/>
      <c r="Q35" s="2"/>
      <c r="R35" s="2"/>
      <c r="S35" s="2"/>
      <c r="T35" s="2"/>
      <c r="U35" s="2"/>
      <c r="V35" s="2"/>
    </row>
    <row r="36" spans="1:22" x14ac:dyDescent="0.55000000000000004">
      <c r="A36" s="91">
        <f>A34-DATEVALUE("1/1/"&amp;A38)+1</f>
        <v>366</v>
      </c>
      <c r="B36" s="74" t="s">
        <v>25</v>
      </c>
      <c r="C36" s="6" t="s">
        <v>26</v>
      </c>
      <c r="D36" s="6"/>
      <c r="E36" s="6"/>
      <c r="F36" s="6"/>
      <c r="G36" s="6"/>
      <c r="H36" s="6"/>
      <c r="I36" s="6"/>
      <c r="J36" s="6"/>
      <c r="K36" s="6"/>
      <c r="L36" s="6"/>
      <c r="M36" s="93"/>
    </row>
    <row r="37" spans="1:22" x14ac:dyDescent="0.55000000000000004">
      <c r="A37" s="92" t="s">
        <v>1752</v>
      </c>
      <c r="B37" s="13" t="s">
        <v>335</v>
      </c>
      <c r="C37" s="7">
        <v>3600</v>
      </c>
      <c r="D37" s="6"/>
      <c r="E37" s="6"/>
      <c r="F37" s="6"/>
      <c r="G37" s="6"/>
      <c r="H37" s="6"/>
      <c r="I37" s="6"/>
      <c r="J37" s="6"/>
      <c r="K37" s="6"/>
      <c r="L37" s="6"/>
      <c r="M37" s="93"/>
    </row>
    <row r="38" spans="1:22" x14ac:dyDescent="0.55000000000000004">
      <c r="A38" s="92">
        <f>YEAR(A32)</f>
        <v>2011</v>
      </c>
      <c r="B38" s="21"/>
      <c r="C38" s="6" t="s">
        <v>394</v>
      </c>
      <c r="D38" s="6"/>
      <c r="E38" s="6"/>
      <c r="F38" s="6"/>
      <c r="G38" s="6"/>
      <c r="H38" s="6"/>
      <c r="I38" s="6"/>
      <c r="J38" s="6"/>
      <c r="K38" s="6"/>
      <c r="L38" s="6"/>
      <c r="M38" s="93"/>
    </row>
    <row r="39" spans="1:22" x14ac:dyDescent="0.55000000000000004">
      <c r="A39" t="s">
        <v>1613</v>
      </c>
      <c r="B39" s="74" t="s">
        <v>27</v>
      </c>
      <c r="C39" s="25" t="s">
        <v>28</v>
      </c>
      <c r="D39" s="6"/>
      <c r="E39" s="6"/>
      <c r="F39" s="6"/>
      <c r="G39" s="6"/>
      <c r="H39" s="6"/>
      <c r="I39" s="6"/>
      <c r="J39" s="6"/>
      <c r="K39" s="6"/>
      <c r="L39" s="6"/>
      <c r="M39" s="93"/>
    </row>
    <row r="40" spans="1:22" x14ac:dyDescent="0.55000000000000004">
      <c r="A40" s="78" t="s">
        <v>1612</v>
      </c>
      <c r="B40" s="13" t="s">
        <v>336</v>
      </c>
      <c r="C40" s="7">
        <v>0.9</v>
      </c>
      <c r="D40" s="6"/>
      <c r="E40" s="6"/>
      <c r="F40" s="6"/>
      <c r="G40" s="6"/>
      <c r="H40" s="6"/>
      <c r="I40" s="6"/>
      <c r="J40" s="6"/>
      <c r="K40" s="6"/>
      <c r="L40" s="6"/>
      <c r="M40" s="93"/>
    </row>
    <row r="41" spans="1:22" x14ac:dyDescent="0.55000000000000004">
      <c r="B41" s="21"/>
      <c r="C41" s="6" t="s">
        <v>394</v>
      </c>
      <c r="D41" s="6"/>
      <c r="E41" s="6"/>
      <c r="F41" s="6"/>
      <c r="G41" s="6"/>
      <c r="H41" s="6"/>
      <c r="I41" s="6"/>
      <c r="J41" s="6"/>
      <c r="K41" s="6"/>
      <c r="L41" s="6"/>
      <c r="M41" s="93"/>
    </row>
    <row r="42" spans="1:22" x14ac:dyDescent="0.55000000000000004">
      <c r="B42" s="74" t="s">
        <v>146</v>
      </c>
      <c r="C42" s="6" t="s">
        <v>96</v>
      </c>
      <c r="D42" s="6"/>
      <c r="E42" s="6"/>
      <c r="F42" s="6"/>
      <c r="G42" s="6"/>
      <c r="H42" s="6"/>
      <c r="I42" s="6"/>
      <c r="J42" s="6"/>
      <c r="K42" s="6"/>
      <c r="L42" s="6"/>
      <c r="M42" s="93"/>
    </row>
    <row r="43" spans="1:22" x14ac:dyDescent="0.55000000000000004">
      <c r="B43" s="13" t="s">
        <v>337</v>
      </c>
      <c r="C43" s="7" t="s">
        <v>940</v>
      </c>
      <c r="D43" s="6"/>
      <c r="E43" s="6"/>
      <c r="F43" s="6"/>
      <c r="G43" s="6"/>
      <c r="H43" s="6"/>
      <c r="I43" s="6"/>
      <c r="J43" s="6"/>
      <c r="K43" s="6"/>
      <c r="L43" s="6"/>
      <c r="M43" s="93"/>
    </row>
    <row r="44" spans="1:22" x14ac:dyDescent="0.55000000000000004">
      <c r="B44" s="13" t="s">
        <v>338</v>
      </c>
      <c r="C44" s="7" t="s">
        <v>940</v>
      </c>
      <c r="D44" s="6"/>
      <c r="E44" s="6"/>
      <c r="F44" s="6"/>
      <c r="G44" s="6"/>
      <c r="H44" s="6"/>
      <c r="I44" s="6"/>
      <c r="J44" s="6"/>
      <c r="K44" s="6"/>
      <c r="L44" s="6"/>
      <c r="M44" s="93"/>
    </row>
    <row r="45" spans="1:22" x14ac:dyDescent="0.55000000000000004">
      <c r="A45" s="30" t="s">
        <v>266</v>
      </c>
      <c r="B45" s="13" t="s">
        <v>339</v>
      </c>
      <c r="C45" s="7" t="s">
        <v>17</v>
      </c>
      <c r="D45" s="6"/>
      <c r="E45" s="6"/>
      <c r="F45" s="6"/>
      <c r="G45" s="6"/>
      <c r="H45" s="6"/>
      <c r="I45" s="6"/>
      <c r="J45" s="6"/>
      <c r="K45" s="6"/>
      <c r="L45" s="6"/>
      <c r="M45" s="93"/>
    </row>
    <row r="46" spans="1:22" x14ac:dyDescent="0.55000000000000004">
      <c r="B46" s="21"/>
      <c r="C46" s="6" t="s">
        <v>394</v>
      </c>
      <c r="D46" s="6"/>
      <c r="E46" s="6"/>
      <c r="F46" s="6"/>
      <c r="G46" s="6"/>
      <c r="H46" s="6"/>
      <c r="I46" s="6"/>
      <c r="J46" s="6"/>
      <c r="K46" s="6"/>
      <c r="L46" s="6"/>
      <c r="M46" s="93"/>
    </row>
    <row r="47" spans="1:22" x14ac:dyDescent="0.55000000000000004">
      <c r="B47" s="74" t="s">
        <v>147</v>
      </c>
      <c r="C47" s="25" t="s">
        <v>29</v>
      </c>
      <c r="D47" s="6"/>
      <c r="E47" s="6"/>
      <c r="F47" s="6"/>
      <c r="G47" s="6"/>
      <c r="H47" s="6"/>
      <c r="I47" s="6"/>
      <c r="J47" s="6"/>
      <c r="K47" s="6"/>
      <c r="L47" s="6"/>
      <c r="M47" s="93"/>
    </row>
    <row r="48" spans="1:22" x14ac:dyDescent="0.55000000000000004">
      <c r="B48" s="13" t="s">
        <v>343</v>
      </c>
      <c r="C48" s="7">
        <v>2</v>
      </c>
      <c r="D48" s="6"/>
      <c r="E48" s="6"/>
      <c r="F48" s="6"/>
      <c r="G48" s="6"/>
      <c r="H48" s="6"/>
      <c r="I48" s="6"/>
      <c r="J48" s="6"/>
      <c r="K48" s="6"/>
      <c r="L48" s="6"/>
      <c r="M48" s="93"/>
    </row>
    <row r="49" spans="2:13" x14ac:dyDescent="0.55000000000000004">
      <c r="B49" s="13" t="s">
        <v>342</v>
      </c>
      <c r="C49" s="7">
        <v>76</v>
      </c>
      <c r="D49" s="6"/>
      <c r="E49" s="6"/>
      <c r="F49" s="6"/>
      <c r="G49" s="6"/>
      <c r="H49" s="6"/>
      <c r="I49" s="6"/>
      <c r="J49" s="6"/>
      <c r="K49" s="6"/>
      <c r="L49" s="6"/>
      <c r="M49" s="93"/>
    </row>
    <row r="50" spans="2:13" x14ac:dyDescent="0.55000000000000004">
      <c r="B50" s="13" t="s">
        <v>1173</v>
      </c>
      <c r="C50" s="7">
        <v>0</v>
      </c>
      <c r="D50" s="6"/>
      <c r="E50" s="6"/>
      <c r="F50" s="6"/>
      <c r="G50" s="6"/>
      <c r="H50" s="6"/>
      <c r="I50" s="6"/>
      <c r="J50" s="6"/>
      <c r="K50" s="6"/>
      <c r="L50" s="6"/>
      <c r="M50" s="93"/>
    </row>
    <row r="51" spans="2:13" x14ac:dyDescent="0.55000000000000004">
      <c r="B51" s="13" t="s">
        <v>341</v>
      </c>
      <c r="C51" s="7">
        <v>0</v>
      </c>
      <c r="D51" s="6"/>
      <c r="E51" s="6"/>
      <c r="F51" s="6"/>
      <c r="G51" s="6"/>
      <c r="H51" s="6"/>
      <c r="I51" s="6"/>
      <c r="J51" s="6"/>
      <c r="K51" s="6"/>
      <c r="L51" s="6"/>
      <c r="M51" s="93"/>
    </row>
    <row r="52" spans="2:13" x14ac:dyDescent="0.55000000000000004">
      <c r="B52" s="13" t="s">
        <v>340</v>
      </c>
      <c r="C52" s="7">
        <v>2</v>
      </c>
      <c r="D52" s="6"/>
      <c r="E52" s="6"/>
      <c r="F52" s="6"/>
      <c r="G52" s="6"/>
      <c r="H52" s="6"/>
      <c r="I52" s="6"/>
      <c r="J52" s="6"/>
      <c r="K52" s="6"/>
      <c r="L52" s="6"/>
      <c r="M52" s="93"/>
    </row>
    <row r="53" spans="2:13" x14ac:dyDescent="0.55000000000000004">
      <c r="B53" s="13" t="s">
        <v>344</v>
      </c>
      <c r="C53" s="7">
        <v>0</v>
      </c>
      <c r="D53" s="6"/>
      <c r="E53" s="6"/>
      <c r="F53" s="6"/>
      <c r="G53" s="6"/>
      <c r="H53" s="6"/>
      <c r="I53" s="6"/>
      <c r="J53" s="6"/>
      <c r="K53" s="6"/>
      <c r="L53" s="6"/>
      <c r="M53" s="93"/>
    </row>
    <row r="54" spans="2:13" x14ac:dyDescent="0.55000000000000004">
      <c r="B54" s="13" t="s">
        <v>345</v>
      </c>
      <c r="C54" s="7">
        <v>0</v>
      </c>
      <c r="D54" s="6"/>
      <c r="E54" s="6"/>
      <c r="F54" s="6"/>
      <c r="G54" s="6"/>
      <c r="H54" s="6"/>
      <c r="I54" s="6"/>
      <c r="J54" s="6"/>
      <c r="K54" s="6"/>
      <c r="L54" s="6"/>
      <c r="M54" s="93"/>
    </row>
    <row r="55" spans="2:13" x14ac:dyDescent="0.55000000000000004">
      <c r="B55" s="21"/>
      <c r="C55" s="6" t="s">
        <v>394</v>
      </c>
      <c r="D55" s="6"/>
      <c r="E55" s="6"/>
      <c r="F55" s="6"/>
      <c r="G55" s="6"/>
      <c r="H55" s="6"/>
      <c r="I55" s="6"/>
      <c r="J55" s="6"/>
      <c r="K55" s="6"/>
      <c r="L55" s="6"/>
      <c r="M55" s="93"/>
    </row>
    <row r="56" spans="2:13" x14ac:dyDescent="0.55000000000000004">
      <c r="B56" s="74" t="s">
        <v>30</v>
      </c>
      <c r="C56" s="25" t="s">
        <v>96</v>
      </c>
      <c r="D56" s="6"/>
      <c r="E56" s="6"/>
      <c r="F56" s="6"/>
      <c r="G56" s="6"/>
      <c r="H56" s="6"/>
      <c r="I56" s="6"/>
      <c r="J56" s="6"/>
      <c r="K56" s="6"/>
      <c r="L56" s="6"/>
      <c r="M56" s="93"/>
    </row>
    <row r="57" spans="2:13" x14ac:dyDescent="0.55000000000000004">
      <c r="B57" s="13" t="s">
        <v>426</v>
      </c>
      <c r="C57" s="7">
        <v>45.643999999999998</v>
      </c>
      <c r="D57" s="6"/>
      <c r="E57" s="6"/>
      <c r="F57" s="6"/>
      <c r="G57" s="6"/>
      <c r="H57" s="6"/>
      <c r="I57" s="6"/>
      <c r="J57" s="6"/>
      <c r="K57" s="6"/>
      <c r="L57" s="6"/>
      <c r="M57" s="93"/>
    </row>
    <row r="58" spans="2:13" x14ac:dyDescent="0.55000000000000004">
      <c r="B58" s="13" t="s">
        <v>425</v>
      </c>
      <c r="C58" s="7">
        <v>121.941</v>
      </c>
      <c r="D58" s="6"/>
      <c r="E58" s="6"/>
      <c r="F58" s="6"/>
      <c r="G58" s="6"/>
      <c r="H58" s="6"/>
      <c r="I58" s="6"/>
      <c r="J58" s="6"/>
      <c r="K58" s="6"/>
      <c r="L58" s="6"/>
      <c r="M58" s="93"/>
    </row>
    <row r="59" spans="2:13" x14ac:dyDescent="0.55000000000000004">
      <c r="B59" s="13" t="s">
        <v>427</v>
      </c>
      <c r="C59" s="7">
        <v>1.006</v>
      </c>
      <c r="D59" s="6"/>
      <c r="E59" s="6"/>
      <c r="F59" s="6"/>
      <c r="G59" s="6"/>
      <c r="H59" s="6"/>
      <c r="I59" s="6"/>
      <c r="J59" s="6"/>
      <c r="K59" s="6"/>
      <c r="L59" s="6"/>
      <c r="M59" s="93"/>
    </row>
    <row r="60" spans="2:13" x14ac:dyDescent="0.55000000000000004">
      <c r="B60" s="13" t="s">
        <v>428</v>
      </c>
      <c r="C60" s="7">
        <v>1</v>
      </c>
      <c r="D60" s="6"/>
      <c r="E60" s="6"/>
      <c r="F60" s="6"/>
      <c r="G60" s="6"/>
      <c r="H60" s="6"/>
      <c r="I60" s="6"/>
      <c r="J60" s="6"/>
      <c r="K60" s="6"/>
      <c r="L60" s="6"/>
      <c r="M60" s="93"/>
    </row>
    <row r="61" spans="2:13" x14ac:dyDescent="0.55000000000000004">
      <c r="B61" s="13" t="s">
        <v>429</v>
      </c>
      <c r="C61" s="7">
        <v>1</v>
      </c>
      <c r="D61" s="6"/>
      <c r="E61" s="6"/>
      <c r="F61" s="6"/>
      <c r="G61" s="6"/>
      <c r="H61" s="6"/>
      <c r="I61" s="6"/>
      <c r="J61" s="6"/>
      <c r="K61" s="6"/>
      <c r="L61" s="6"/>
      <c r="M61" s="93"/>
    </row>
    <row r="62" spans="2:13" x14ac:dyDescent="0.55000000000000004">
      <c r="B62" s="13" t="s">
        <v>430</v>
      </c>
      <c r="C62" s="7">
        <v>1</v>
      </c>
      <c r="D62" s="6"/>
      <c r="E62" s="6"/>
      <c r="F62" s="6"/>
      <c r="G62" s="6"/>
      <c r="H62" s="6"/>
      <c r="I62" s="6"/>
      <c r="J62" s="6"/>
      <c r="K62" s="6"/>
      <c r="L62" s="6"/>
      <c r="M62" s="93"/>
    </row>
    <row r="63" spans="2:13" x14ac:dyDescent="0.55000000000000004">
      <c r="B63" s="21"/>
      <c r="C63" s="6" t="s">
        <v>394</v>
      </c>
      <c r="D63" s="6"/>
      <c r="E63" s="6"/>
      <c r="F63" s="6"/>
      <c r="G63" s="6"/>
      <c r="H63" s="6"/>
      <c r="I63" s="6"/>
      <c r="J63" s="6"/>
      <c r="K63" s="6"/>
      <c r="L63" s="6"/>
      <c r="M63" s="93"/>
    </row>
    <row r="64" spans="2:13" x14ac:dyDescent="0.55000000000000004">
      <c r="B64" s="74" t="s">
        <v>31</v>
      </c>
      <c r="C64" s="6" t="s">
        <v>96</v>
      </c>
      <c r="D64" s="6"/>
      <c r="E64" s="6"/>
      <c r="F64" s="6"/>
      <c r="G64" s="6"/>
      <c r="H64" s="6"/>
      <c r="I64" s="6"/>
      <c r="J64" s="6"/>
      <c r="K64" s="6"/>
      <c r="L64" s="6"/>
      <c r="M64" s="93"/>
    </row>
    <row r="65" spans="2:13" x14ac:dyDescent="0.55000000000000004">
      <c r="B65" s="13" t="s">
        <v>223</v>
      </c>
      <c r="C65" s="7">
        <v>4.5</v>
      </c>
      <c r="D65" s="6"/>
      <c r="E65" s="6"/>
      <c r="F65" s="6"/>
      <c r="G65" s="6"/>
      <c r="H65" s="6"/>
      <c r="I65" s="6"/>
      <c r="J65" s="6"/>
      <c r="K65" s="6"/>
      <c r="L65" s="6"/>
      <c r="M65" s="93"/>
    </row>
    <row r="66" spans="2:13" x14ac:dyDescent="0.55000000000000004">
      <c r="B66" s="13" t="s">
        <v>224</v>
      </c>
      <c r="C66" s="7">
        <v>0</v>
      </c>
      <c r="D66" s="6"/>
      <c r="E66" s="6"/>
      <c r="F66" s="6"/>
      <c r="G66" s="6"/>
      <c r="H66" s="6"/>
      <c r="I66" s="6"/>
      <c r="J66" s="6"/>
      <c r="K66" s="6"/>
      <c r="L66" s="6"/>
      <c r="M66" s="93"/>
    </row>
    <row r="67" spans="2:13" x14ac:dyDescent="0.55000000000000004">
      <c r="B67" s="13" t="s">
        <v>225</v>
      </c>
      <c r="C67" s="7" t="s">
        <v>941</v>
      </c>
      <c r="D67" s="6"/>
      <c r="E67" s="6"/>
      <c r="F67" s="6"/>
      <c r="G67" s="6"/>
      <c r="H67" s="6"/>
      <c r="I67" s="6"/>
      <c r="J67" s="6"/>
      <c r="K67" s="6"/>
      <c r="L67" s="6"/>
      <c r="M67" s="93"/>
    </row>
    <row r="68" spans="2:13" x14ac:dyDescent="0.55000000000000004">
      <c r="B68" s="13" t="s">
        <v>226</v>
      </c>
      <c r="C68" s="7" t="s">
        <v>942</v>
      </c>
      <c r="D68" s="6"/>
      <c r="E68" s="6"/>
      <c r="F68" s="6"/>
      <c r="G68" s="6"/>
      <c r="H68" s="6"/>
      <c r="I68" s="6"/>
      <c r="J68" s="6"/>
      <c r="K68" s="6"/>
      <c r="L68" s="6"/>
      <c r="M68" s="93"/>
    </row>
    <row r="69" spans="2:13" x14ac:dyDescent="0.55000000000000004">
      <c r="B69" s="21"/>
      <c r="C69" s="6" t="s">
        <v>394</v>
      </c>
      <c r="D69" s="6"/>
      <c r="E69" s="6"/>
      <c r="F69" s="6"/>
      <c r="G69" s="6"/>
      <c r="H69" s="6"/>
      <c r="I69" s="6"/>
      <c r="J69" s="6"/>
      <c r="K69" s="6"/>
      <c r="L69" s="6"/>
      <c r="M69" s="93"/>
    </row>
    <row r="70" spans="2:13" x14ac:dyDescent="0.55000000000000004">
      <c r="B70" s="74" t="s">
        <v>216</v>
      </c>
      <c r="C70" s="6" t="s">
        <v>96</v>
      </c>
      <c r="D70" s="6"/>
      <c r="E70" s="6"/>
      <c r="F70" s="6"/>
      <c r="G70" s="6"/>
      <c r="H70" s="6"/>
      <c r="I70" s="6"/>
      <c r="J70" s="6"/>
      <c r="K70" s="6"/>
      <c r="L70" s="6"/>
      <c r="M70" s="93"/>
    </row>
    <row r="71" spans="2:13" x14ac:dyDescent="0.55000000000000004">
      <c r="B71" s="13" t="s">
        <v>218</v>
      </c>
      <c r="C71" s="7" t="s">
        <v>940</v>
      </c>
      <c r="D71" s="6"/>
      <c r="E71" s="6"/>
      <c r="F71" s="6"/>
      <c r="G71" s="6"/>
      <c r="H71" s="6"/>
      <c r="I71" s="6"/>
      <c r="J71" s="6"/>
      <c r="K71" s="6"/>
      <c r="L71" s="6"/>
      <c r="M71" s="93"/>
    </row>
    <row r="72" spans="2:13" x14ac:dyDescent="0.55000000000000004">
      <c r="B72" s="13" t="s">
        <v>217</v>
      </c>
      <c r="C72" s="7" t="s">
        <v>17</v>
      </c>
      <c r="D72" s="6"/>
      <c r="E72" s="6"/>
      <c r="F72" s="6"/>
      <c r="G72" s="6"/>
      <c r="H72" s="6"/>
      <c r="I72" s="6"/>
      <c r="J72" s="6"/>
      <c r="K72" s="6"/>
      <c r="L72" s="6"/>
      <c r="M72" s="93"/>
    </row>
    <row r="73" spans="2:13" x14ac:dyDescent="0.55000000000000004">
      <c r="B73" s="13" t="s">
        <v>219</v>
      </c>
      <c r="C73" s="7" t="s">
        <v>17</v>
      </c>
      <c r="D73" s="6"/>
      <c r="E73" s="6"/>
      <c r="F73" s="6"/>
      <c r="G73" s="6"/>
      <c r="H73" s="6"/>
      <c r="I73" s="6"/>
      <c r="J73" s="6"/>
      <c r="K73" s="6"/>
      <c r="L73" s="6"/>
      <c r="M73" s="93"/>
    </row>
    <row r="74" spans="2:13" x14ac:dyDescent="0.55000000000000004">
      <c r="B74" s="13" t="s">
        <v>220</v>
      </c>
      <c r="C74" s="7" t="s">
        <v>17</v>
      </c>
      <c r="D74" s="6"/>
      <c r="E74" s="6"/>
      <c r="F74" s="6"/>
      <c r="G74" s="6"/>
      <c r="H74" s="6"/>
      <c r="I74" s="6"/>
      <c r="J74" s="6"/>
      <c r="K74" s="6"/>
      <c r="L74" s="6"/>
      <c r="M74" s="93"/>
    </row>
    <row r="75" spans="2:13" x14ac:dyDescent="0.55000000000000004">
      <c r="B75" s="13" t="s">
        <v>221</v>
      </c>
      <c r="C75" s="7" t="s">
        <v>924</v>
      </c>
      <c r="D75" s="6"/>
      <c r="E75" s="6"/>
      <c r="F75" s="6"/>
      <c r="G75" s="6"/>
      <c r="H75" s="6"/>
      <c r="I75" s="6"/>
      <c r="J75" s="6"/>
      <c r="K75" s="6"/>
      <c r="L75" s="6"/>
      <c r="M75" s="93"/>
    </row>
    <row r="76" spans="2:13" x14ac:dyDescent="0.55000000000000004">
      <c r="B76" s="13" t="s">
        <v>222</v>
      </c>
      <c r="C76" s="7" t="s">
        <v>924</v>
      </c>
      <c r="D76" s="6"/>
      <c r="E76" s="6"/>
      <c r="F76" s="6"/>
      <c r="G76" s="6"/>
      <c r="H76" s="6"/>
      <c r="I76" s="6"/>
      <c r="J76" s="6"/>
      <c r="K76" s="6"/>
      <c r="L76" s="6"/>
      <c r="M76" s="93"/>
    </row>
    <row r="77" spans="2:13" x14ac:dyDescent="0.55000000000000004">
      <c r="B77" s="21"/>
      <c r="C77" s="6" t="s">
        <v>394</v>
      </c>
      <c r="D77" s="6"/>
      <c r="E77" s="6"/>
      <c r="F77" s="6"/>
      <c r="G77" s="6"/>
      <c r="H77" s="6"/>
      <c r="I77" s="6"/>
      <c r="J77" s="6"/>
      <c r="K77" s="6"/>
      <c r="L77" s="6"/>
      <c r="M77" s="93"/>
    </row>
    <row r="78" spans="2:13" x14ac:dyDescent="0.55000000000000004">
      <c r="B78" s="74" t="s">
        <v>211</v>
      </c>
      <c r="C78" s="6" t="s">
        <v>96</v>
      </c>
      <c r="D78" s="6"/>
      <c r="E78" s="6"/>
      <c r="F78" s="6"/>
      <c r="G78" s="6"/>
      <c r="H78" s="6"/>
      <c r="I78" s="6"/>
      <c r="J78" s="6"/>
      <c r="K78" s="6"/>
      <c r="L78" s="6"/>
      <c r="M78" s="93"/>
    </row>
    <row r="79" spans="2:13" x14ac:dyDescent="0.55000000000000004">
      <c r="B79" s="13" t="s">
        <v>212</v>
      </c>
      <c r="C79" s="7" t="s">
        <v>940</v>
      </c>
      <c r="D79" s="6"/>
      <c r="E79" s="6"/>
      <c r="F79" s="6"/>
      <c r="G79" s="6"/>
      <c r="H79" s="6"/>
      <c r="I79" s="6"/>
      <c r="J79" s="6"/>
      <c r="K79" s="6"/>
      <c r="L79" s="6"/>
      <c r="M79" s="93"/>
    </row>
    <row r="80" spans="2:13" x14ac:dyDescent="0.55000000000000004">
      <c r="B80" s="13" t="s">
        <v>213</v>
      </c>
      <c r="C80" s="7" t="s">
        <v>940</v>
      </c>
      <c r="D80" s="6"/>
      <c r="E80" s="6"/>
      <c r="F80" s="6"/>
      <c r="G80" s="6"/>
      <c r="H80" s="6"/>
      <c r="I80" s="6"/>
      <c r="J80" s="6"/>
      <c r="K80" s="6"/>
      <c r="L80" s="6"/>
      <c r="M80" s="93"/>
    </row>
    <row r="81" spans="2:13" x14ac:dyDescent="0.55000000000000004">
      <c r="B81" s="13" t="s">
        <v>214</v>
      </c>
      <c r="C81" s="7" t="s">
        <v>940</v>
      </c>
      <c r="D81" s="6"/>
      <c r="E81" s="6"/>
      <c r="F81" s="6"/>
      <c r="G81" s="6"/>
      <c r="H81" s="6"/>
      <c r="I81" s="6"/>
      <c r="J81" s="6"/>
      <c r="K81" s="6"/>
      <c r="L81" s="6"/>
      <c r="M81" s="93"/>
    </row>
    <row r="82" spans="2:13" x14ac:dyDescent="0.55000000000000004">
      <c r="B82" s="13" t="s">
        <v>215</v>
      </c>
      <c r="C82" s="7" t="s">
        <v>940</v>
      </c>
      <c r="D82" s="6"/>
      <c r="E82" s="6"/>
      <c r="F82" s="6"/>
      <c r="G82" s="6"/>
      <c r="H82" s="6"/>
      <c r="I82" s="6"/>
      <c r="J82" s="6"/>
      <c r="K82" s="6"/>
      <c r="L82" s="6"/>
      <c r="M82" s="93"/>
    </row>
    <row r="83" spans="2:13" x14ac:dyDescent="0.55000000000000004">
      <c r="B83" s="21"/>
      <c r="C83" s="6" t="s">
        <v>394</v>
      </c>
      <c r="D83" s="6"/>
      <c r="E83" s="6"/>
      <c r="F83" s="6"/>
      <c r="G83" s="6"/>
      <c r="H83" s="6"/>
      <c r="I83" s="6"/>
      <c r="J83" s="6"/>
      <c r="K83" s="6"/>
      <c r="L83" s="6"/>
      <c r="M83" s="93"/>
    </row>
    <row r="84" spans="2:13" x14ac:dyDescent="0.55000000000000004">
      <c r="B84" s="74" t="s">
        <v>207</v>
      </c>
      <c r="C84" s="6" t="s">
        <v>29</v>
      </c>
      <c r="D84" s="6"/>
      <c r="E84" s="6"/>
      <c r="F84" s="6"/>
      <c r="G84" s="6"/>
      <c r="H84" s="6"/>
      <c r="I84" s="6"/>
      <c r="J84" s="6"/>
      <c r="K84" s="6"/>
      <c r="L84" s="6"/>
      <c r="M84" s="93"/>
    </row>
    <row r="85" spans="2:13" x14ac:dyDescent="0.55000000000000004">
      <c r="B85" s="13" t="s">
        <v>208</v>
      </c>
      <c r="C85" s="7" t="s">
        <v>940</v>
      </c>
      <c r="D85" s="6"/>
      <c r="E85" s="6"/>
      <c r="F85" s="6"/>
      <c r="G85" s="6"/>
      <c r="H85" s="6"/>
      <c r="I85" s="6"/>
      <c r="J85" s="6"/>
      <c r="K85" s="6"/>
      <c r="L85" s="6"/>
      <c r="M85" s="93"/>
    </row>
    <row r="86" spans="2:13" x14ac:dyDescent="0.55000000000000004">
      <c r="B86" s="13" t="s">
        <v>209</v>
      </c>
      <c r="C86" s="7" t="s">
        <v>940</v>
      </c>
      <c r="D86" s="6"/>
      <c r="E86" s="6"/>
      <c r="F86" s="6"/>
      <c r="G86" s="6"/>
      <c r="H86" s="6"/>
      <c r="I86" s="6"/>
      <c r="J86" s="6"/>
      <c r="K86" s="6"/>
      <c r="L86" s="6"/>
      <c r="M86" s="93"/>
    </row>
    <row r="87" spans="2:13" x14ac:dyDescent="0.55000000000000004">
      <c r="B87" s="13" t="s">
        <v>210</v>
      </c>
      <c r="C87" s="7" t="s">
        <v>940</v>
      </c>
      <c r="D87" s="6"/>
      <c r="E87" s="6"/>
      <c r="F87" s="6"/>
      <c r="G87" s="6"/>
      <c r="H87" s="6"/>
      <c r="I87" s="6"/>
      <c r="J87" s="6"/>
      <c r="K87" s="6"/>
      <c r="L87" s="6"/>
      <c r="M87" s="93"/>
    </row>
    <row r="88" spans="2:13" x14ac:dyDescent="0.55000000000000004">
      <c r="B88" s="21"/>
      <c r="C88" s="6" t="s">
        <v>394</v>
      </c>
      <c r="D88" s="6"/>
      <c r="E88" s="6"/>
      <c r="F88" s="6"/>
      <c r="G88" s="6"/>
      <c r="H88" s="6"/>
      <c r="I88" s="6"/>
      <c r="J88" s="6"/>
      <c r="K88" s="6"/>
      <c r="L88" s="6"/>
      <c r="M88" s="93"/>
    </row>
    <row r="89" spans="2:13" x14ac:dyDescent="0.55000000000000004">
      <c r="B89" s="74" t="s">
        <v>206</v>
      </c>
      <c r="C89" s="6" t="s">
        <v>96</v>
      </c>
      <c r="D89" s="6"/>
      <c r="E89" s="6"/>
      <c r="F89" s="6"/>
      <c r="G89" s="6"/>
      <c r="H89" s="6"/>
      <c r="I89" s="6"/>
      <c r="J89" s="6"/>
      <c r="K89" s="6"/>
      <c r="L89" s="6"/>
      <c r="M89" s="93"/>
    </row>
    <row r="90" spans="2:13" x14ac:dyDescent="0.55000000000000004">
      <c r="B90" s="13" t="s">
        <v>232</v>
      </c>
      <c r="C90" s="7" t="s">
        <v>943</v>
      </c>
      <c r="D90" s="6"/>
      <c r="E90" s="6"/>
      <c r="F90" s="6"/>
      <c r="G90" s="6"/>
      <c r="H90" s="6"/>
      <c r="I90" s="6"/>
      <c r="J90" s="6"/>
      <c r="K90" s="6"/>
      <c r="L90" s="6"/>
      <c r="M90" s="93"/>
    </row>
    <row r="91" spans="2:13" x14ac:dyDescent="0.55000000000000004">
      <c r="B91" s="13" t="s">
        <v>860</v>
      </c>
      <c r="C91" s="7" t="s">
        <v>924</v>
      </c>
      <c r="D91" s="6"/>
      <c r="E91" s="6"/>
      <c r="F91" s="6"/>
      <c r="G91" s="6"/>
      <c r="H91" s="6"/>
      <c r="I91" s="6"/>
      <c r="J91" s="6"/>
      <c r="K91" s="6"/>
      <c r="L91" s="6"/>
      <c r="M91" s="93"/>
    </row>
    <row r="92" spans="2:13" x14ac:dyDescent="0.55000000000000004">
      <c r="B92" s="13" t="s">
        <v>861</v>
      </c>
      <c r="C92" s="7" t="s">
        <v>924</v>
      </c>
      <c r="D92" s="6"/>
      <c r="E92" s="6"/>
      <c r="F92" s="6"/>
      <c r="G92" s="6"/>
      <c r="H92" s="6"/>
      <c r="I92" s="6"/>
      <c r="J92" s="6"/>
      <c r="K92" s="6"/>
      <c r="L92" s="6"/>
      <c r="M92" s="93"/>
    </row>
    <row r="93" spans="2:13" x14ac:dyDescent="0.55000000000000004">
      <c r="B93" s="13" t="s">
        <v>1174</v>
      </c>
      <c r="C93" s="7" t="s">
        <v>940</v>
      </c>
      <c r="D93" s="6"/>
      <c r="E93" s="6"/>
      <c r="F93" s="6"/>
      <c r="G93" s="6"/>
      <c r="H93" s="6"/>
      <c r="I93" s="6"/>
      <c r="J93" s="6"/>
      <c r="K93" s="6"/>
      <c r="L93" s="6"/>
      <c r="M93" s="93"/>
    </row>
    <row r="94" spans="2:13" x14ac:dyDescent="0.55000000000000004">
      <c r="B94" s="13" t="s">
        <v>227</v>
      </c>
      <c r="C94" s="7" t="s">
        <v>924</v>
      </c>
      <c r="D94" s="6"/>
      <c r="E94" s="6"/>
      <c r="F94" s="6"/>
      <c r="G94" s="6"/>
      <c r="H94" s="6"/>
      <c r="I94" s="6"/>
      <c r="J94" s="6"/>
      <c r="K94" s="6"/>
      <c r="L94" s="6"/>
      <c r="M94" s="93"/>
    </row>
    <row r="95" spans="2:13" x14ac:dyDescent="0.55000000000000004">
      <c r="B95" s="13" t="s">
        <v>228</v>
      </c>
      <c r="C95" s="7">
        <v>9.1999999999999993</v>
      </c>
      <c r="D95" s="6"/>
      <c r="E95" s="6"/>
      <c r="F95" s="6"/>
      <c r="G95" s="6"/>
      <c r="H95" s="6"/>
      <c r="I95" s="6"/>
      <c r="J95" s="6"/>
      <c r="K95" s="6"/>
      <c r="L95" s="6"/>
      <c r="M95" s="93"/>
    </row>
    <row r="96" spans="2:13" x14ac:dyDescent="0.55000000000000004">
      <c r="B96" s="13" t="s">
        <v>229</v>
      </c>
      <c r="C96" s="7">
        <v>0.46</v>
      </c>
      <c r="D96" s="6"/>
      <c r="E96" s="6"/>
      <c r="F96" s="6"/>
      <c r="G96" s="6"/>
      <c r="H96" s="6"/>
      <c r="I96" s="6"/>
      <c r="J96" s="6"/>
      <c r="K96" s="6"/>
      <c r="L96" s="6"/>
      <c r="M96" s="93"/>
    </row>
    <row r="97" spans="2:13" x14ac:dyDescent="0.55000000000000004">
      <c r="B97" s="13" t="s">
        <v>230</v>
      </c>
      <c r="C97" s="7">
        <v>2</v>
      </c>
      <c r="D97" s="6"/>
      <c r="E97" s="6"/>
      <c r="F97" s="6"/>
      <c r="G97" s="6"/>
      <c r="H97" s="6"/>
      <c r="I97" s="6"/>
      <c r="J97" s="6"/>
      <c r="K97" s="6"/>
      <c r="L97" s="6"/>
      <c r="M97" s="93"/>
    </row>
    <row r="98" spans="2:13" x14ac:dyDescent="0.55000000000000004">
      <c r="B98" s="13" t="s">
        <v>231</v>
      </c>
      <c r="C98" s="7">
        <v>2</v>
      </c>
      <c r="D98" s="6"/>
      <c r="E98" s="6"/>
      <c r="F98" s="6"/>
      <c r="G98" s="6"/>
      <c r="H98" s="6"/>
      <c r="I98" s="6"/>
      <c r="J98" s="6"/>
      <c r="K98" s="6"/>
      <c r="L98" s="6"/>
      <c r="M98" s="93"/>
    </row>
    <row r="99" spans="2:13" x14ac:dyDescent="0.55000000000000004">
      <c r="B99" s="21"/>
      <c r="C99" s="6" t="s">
        <v>394</v>
      </c>
      <c r="D99" s="6"/>
      <c r="E99" s="6"/>
      <c r="F99" s="6"/>
      <c r="G99" s="6"/>
      <c r="H99" s="6"/>
      <c r="I99" s="6"/>
      <c r="J99" s="6"/>
      <c r="K99" s="6"/>
      <c r="L99" s="6"/>
      <c r="M99" s="93"/>
    </row>
    <row r="100" spans="2:13" x14ac:dyDescent="0.55000000000000004">
      <c r="B100" s="13" t="s">
        <v>203</v>
      </c>
      <c r="C100" s="6" t="s">
        <v>96</v>
      </c>
      <c r="D100" s="6"/>
      <c r="E100" s="6"/>
      <c r="F100" s="6"/>
      <c r="G100" s="6"/>
      <c r="H100" s="6"/>
      <c r="I100" s="6"/>
      <c r="J100" s="6"/>
      <c r="K100" s="6"/>
      <c r="L100" s="6"/>
      <c r="M100" s="93"/>
    </row>
    <row r="101" spans="2:13" x14ac:dyDescent="0.55000000000000004">
      <c r="B101" s="13" t="s">
        <v>195</v>
      </c>
      <c r="C101" s="7" t="s">
        <v>1139</v>
      </c>
      <c r="D101" s="6"/>
      <c r="E101" s="6"/>
      <c r="F101" s="6"/>
      <c r="G101" s="6"/>
      <c r="H101" s="6"/>
      <c r="I101" s="6"/>
      <c r="J101" s="6"/>
      <c r="K101" s="6"/>
      <c r="L101" s="6"/>
      <c r="M101" s="93"/>
    </row>
    <row r="102" spans="2:13" x14ac:dyDescent="0.55000000000000004">
      <c r="B102" s="13" t="s">
        <v>196</v>
      </c>
      <c r="C102" s="7" t="s">
        <v>944</v>
      </c>
      <c r="D102" s="6"/>
      <c r="E102" s="6"/>
      <c r="F102" s="6"/>
      <c r="G102" s="6"/>
      <c r="H102" s="6"/>
      <c r="I102" s="6"/>
      <c r="J102" s="6"/>
      <c r="K102" s="6"/>
      <c r="L102" s="6"/>
      <c r="M102" s="93"/>
    </row>
    <row r="103" spans="2:13" x14ac:dyDescent="0.55000000000000004">
      <c r="B103" s="13" t="s">
        <v>197</v>
      </c>
      <c r="C103" s="7">
        <v>0.25</v>
      </c>
      <c r="D103" s="6"/>
      <c r="E103" s="6"/>
      <c r="F103" s="6"/>
      <c r="G103" s="6"/>
      <c r="H103" s="6"/>
      <c r="I103" s="6"/>
      <c r="J103" s="6"/>
      <c r="K103" s="6"/>
      <c r="L103" s="6"/>
      <c r="M103" s="93"/>
    </row>
    <row r="104" spans="2:13" x14ac:dyDescent="0.55000000000000004">
      <c r="B104" s="14" t="s">
        <v>198</v>
      </c>
      <c r="C104" s="7">
        <v>10</v>
      </c>
      <c r="D104" s="6"/>
      <c r="E104" s="6"/>
      <c r="F104" s="6"/>
      <c r="G104" s="6"/>
      <c r="H104" s="6"/>
      <c r="I104" s="6"/>
      <c r="J104" s="6"/>
      <c r="K104" s="6"/>
      <c r="L104" s="6"/>
      <c r="M104" s="93"/>
    </row>
    <row r="105" spans="2:13" x14ac:dyDescent="0.55000000000000004">
      <c r="B105" s="13" t="s">
        <v>199</v>
      </c>
      <c r="C105" s="7">
        <v>0.6</v>
      </c>
      <c r="D105" s="6"/>
      <c r="E105" s="6"/>
      <c r="F105" s="6"/>
      <c r="G105" s="6"/>
      <c r="H105" s="6"/>
      <c r="I105" s="6"/>
      <c r="J105" s="6"/>
      <c r="K105" s="6"/>
      <c r="L105" s="6"/>
      <c r="M105" s="93"/>
    </row>
    <row r="106" spans="2:13" x14ac:dyDescent="0.55000000000000004">
      <c r="B106" s="13" t="s">
        <v>200</v>
      </c>
      <c r="C106" s="7">
        <v>7.0000000000000007E-2</v>
      </c>
      <c r="D106" s="6"/>
      <c r="E106" s="6"/>
      <c r="F106" s="6"/>
      <c r="G106" s="6"/>
      <c r="H106" s="6"/>
      <c r="I106" s="6"/>
      <c r="J106" s="6"/>
      <c r="K106" s="6"/>
      <c r="L106" s="6"/>
      <c r="M106" s="93"/>
    </row>
    <row r="107" spans="2:13" x14ac:dyDescent="0.55000000000000004">
      <c r="B107" s="13" t="s">
        <v>201</v>
      </c>
      <c r="C107" s="7">
        <v>0.05</v>
      </c>
      <c r="D107" s="6"/>
      <c r="E107" s="6"/>
      <c r="F107" s="6"/>
      <c r="G107" s="6"/>
      <c r="H107" s="6"/>
      <c r="I107" s="6"/>
      <c r="J107" s="6"/>
      <c r="K107" s="6"/>
      <c r="L107" s="6"/>
      <c r="M107" s="93"/>
    </row>
    <row r="108" spans="2:13" x14ac:dyDescent="0.55000000000000004">
      <c r="B108" s="13" t="s">
        <v>202</v>
      </c>
      <c r="C108" s="7">
        <v>3</v>
      </c>
      <c r="D108" s="6"/>
      <c r="E108" s="6"/>
      <c r="F108" s="6"/>
      <c r="G108" s="6"/>
      <c r="H108" s="6"/>
      <c r="I108" s="6"/>
      <c r="J108" s="6"/>
      <c r="K108" s="6"/>
      <c r="L108" s="6"/>
      <c r="M108" s="93"/>
    </row>
    <row r="109" spans="2:13" x14ac:dyDescent="0.55000000000000004">
      <c r="B109" s="21"/>
      <c r="C109" s="6" t="s">
        <v>394</v>
      </c>
      <c r="D109" s="6"/>
      <c r="E109" s="6"/>
      <c r="F109" s="6"/>
      <c r="G109" s="6"/>
      <c r="H109" s="6"/>
      <c r="I109" s="6"/>
      <c r="J109" s="6"/>
      <c r="K109" s="6"/>
      <c r="L109" s="6"/>
      <c r="M109" s="93"/>
    </row>
    <row r="110" spans="2:13" x14ac:dyDescent="0.55000000000000004">
      <c r="B110" s="74" t="s">
        <v>204</v>
      </c>
      <c r="C110" s="6" t="s">
        <v>96</v>
      </c>
      <c r="D110" s="6"/>
      <c r="E110" s="6"/>
      <c r="F110" s="6"/>
      <c r="G110" s="6"/>
      <c r="H110" s="6"/>
      <c r="I110" s="6"/>
      <c r="J110" s="6"/>
      <c r="K110" s="6"/>
      <c r="L110" s="6"/>
      <c r="M110" s="93"/>
    </row>
    <row r="111" spans="2:13" x14ac:dyDescent="0.55000000000000004">
      <c r="B111" s="13" t="s">
        <v>194</v>
      </c>
      <c r="C111" s="7" t="s">
        <v>1140</v>
      </c>
      <c r="D111" s="6"/>
      <c r="E111" s="6"/>
      <c r="F111" s="6"/>
      <c r="G111" s="6"/>
      <c r="H111" s="6"/>
      <c r="I111" s="6"/>
      <c r="J111" s="6"/>
      <c r="K111" s="6"/>
      <c r="L111" s="6"/>
      <c r="M111" s="93"/>
    </row>
    <row r="112" spans="2:13" x14ac:dyDescent="0.55000000000000004">
      <c r="B112" s="13" t="s">
        <v>1175</v>
      </c>
      <c r="C112" s="7">
        <v>0.55000000000000004</v>
      </c>
      <c r="D112" s="6"/>
      <c r="E112" s="6"/>
      <c r="F112" s="6"/>
      <c r="G112" s="6"/>
      <c r="H112" s="6"/>
      <c r="I112" s="6"/>
      <c r="J112" s="6"/>
      <c r="K112" s="6"/>
      <c r="L112" s="6"/>
      <c r="M112" s="93"/>
    </row>
    <row r="113" spans="2:13" x14ac:dyDescent="0.55000000000000004">
      <c r="B113" s="21"/>
      <c r="C113" s="6" t="s">
        <v>394</v>
      </c>
      <c r="D113" s="6"/>
      <c r="E113" s="6"/>
      <c r="F113" s="6"/>
      <c r="G113" s="6"/>
      <c r="H113" s="6"/>
      <c r="I113" s="6"/>
      <c r="J113" s="6"/>
      <c r="K113" s="6"/>
      <c r="L113" s="6"/>
      <c r="M113" s="93"/>
    </row>
    <row r="114" spans="2:13" x14ac:dyDescent="0.55000000000000004">
      <c r="B114" s="74" t="s">
        <v>205</v>
      </c>
      <c r="C114" s="6" t="s">
        <v>96</v>
      </c>
      <c r="D114" s="6"/>
      <c r="E114" s="6"/>
      <c r="F114" s="6"/>
      <c r="G114" s="6"/>
      <c r="H114" s="6"/>
      <c r="I114" s="6"/>
      <c r="J114" s="6"/>
      <c r="K114" s="6"/>
      <c r="L114" s="6"/>
      <c r="M114" s="93"/>
    </row>
    <row r="115" spans="2:13" x14ac:dyDescent="0.55000000000000004">
      <c r="B115" s="13" t="s">
        <v>164</v>
      </c>
      <c r="C115" s="7">
        <v>1</v>
      </c>
      <c r="D115" s="6"/>
      <c r="E115" s="6"/>
      <c r="F115" s="6"/>
      <c r="G115" s="6"/>
      <c r="H115" s="6"/>
      <c r="I115" s="6"/>
      <c r="J115" s="6"/>
      <c r="K115" s="6"/>
      <c r="L115" s="6"/>
      <c r="M115" s="93"/>
    </row>
    <row r="116" spans="2:13" x14ac:dyDescent="0.55000000000000004">
      <c r="B116" s="13" t="s">
        <v>165</v>
      </c>
      <c r="C116" s="7">
        <v>1</v>
      </c>
      <c r="D116" s="6"/>
      <c r="E116" s="6"/>
      <c r="F116" s="6"/>
      <c r="G116" s="6"/>
      <c r="H116" s="6"/>
      <c r="I116" s="6"/>
      <c r="J116" s="6"/>
      <c r="K116" s="6"/>
      <c r="L116" s="6"/>
      <c r="M116" s="93"/>
    </row>
    <row r="117" spans="2:13" x14ac:dyDescent="0.55000000000000004">
      <c r="B117" s="13" t="s">
        <v>1176</v>
      </c>
      <c r="C117" s="7">
        <v>0.3</v>
      </c>
      <c r="D117" s="6"/>
      <c r="E117" s="6"/>
      <c r="F117" s="6"/>
      <c r="G117" s="6"/>
      <c r="H117" s="6"/>
      <c r="I117" s="6"/>
      <c r="J117" s="6"/>
      <c r="K117" s="6"/>
      <c r="L117" s="6"/>
      <c r="M117" s="93"/>
    </row>
    <row r="118" spans="2:13" x14ac:dyDescent="0.55000000000000004">
      <c r="B118" s="13" t="s">
        <v>1177</v>
      </c>
      <c r="C118" s="7">
        <v>11.6</v>
      </c>
      <c r="D118" s="6"/>
      <c r="E118" s="6"/>
      <c r="F118" s="6"/>
      <c r="G118" s="6"/>
      <c r="H118" s="6"/>
      <c r="I118" s="6"/>
      <c r="J118" s="6"/>
      <c r="K118" s="6"/>
      <c r="L118" s="6"/>
      <c r="M118" s="93"/>
    </row>
    <row r="119" spans="2:13" x14ac:dyDescent="0.55000000000000004">
      <c r="B119" s="13" t="s">
        <v>166</v>
      </c>
      <c r="C119" s="7">
        <v>0.01</v>
      </c>
      <c r="D119" s="6"/>
      <c r="E119" s="6"/>
      <c r="F119" s="6"/>
      <c r="G119" s="6"/>
      <c r="H119" s="6"/>
      <c r="I119" s="6"/>
      <c r="J119" s="6"/>
      <c r="K119" s="6"/>
      <c r="L119" s="6"/>
      <c r="M119" s="93"/>
    </row>
    <row r="120" spans="2:13" x14ac:dyDescent="0.55000000000000004">
      <c r="B120" s="13" t="s">
        <v>859</v>
      </c>
      <c r="C120" s="7">
        <v>0</v>
      </c>
      <c r="D120" s="6"/>
      <c r="E120" s="6"/>
      <c r="F120" s="6"/>
      <c r="G120" s="6"/>
      <c r="H120" s="6"/>
      <c r="I120" s="6"/>
      <c r="J120" s="6"/>
      <c r="K120" s="6"/>
      <c r="L120" s="6"/>
      <c r="M120" s="93"/>
    </row>
    <row r="121" spans="2:13" x14ac:dyDescent="0.55000000000000004">
      <c r="B121" s="13" t="s">
        <v>858</v>
      </c>
      <c r="C121" s="7" t="s">
        <v>1791</v>
      </c>
      <c r="D121" s="6"/>
      <c r="E121" s="6"/>
      <c r="F121" s="6"/>
      <c r="G121" s="6"/>
      <c r="H121" s="6"/>
      <c r="I121" s="6"/>
      <c r="J121" s="6"/>
      <c r="K121" s="6"/>
      <c r="L121" s="6"/>
      <c r="M121" s="93"/>
    </row>
    <row r="122" spans="2:13" x14ac:dyDescent="0.55000000000000004">
      <c r="B122" s="13" t="s">
        <v>857</v>
      </c>
      <c r="C122" s="7">
        <v>1E-3</v>
      </c>
      <c r="D122" s="6"/>
      <c r="E122" s="6"/>
      <c r="F122" s="6"/>
      <c r="G122" s="6"/>
      <c r="H122" s="6"/>
      <c r="I122" s="6"/>
      <c r="J122" s="6"/>
      <c r="K122" s="6"/>
      <c r="L122" s="6"/>
      <c r="M122" s="93"/>
    </row>
    <row r="123" spans="2:13" x14ac:dyDescent="0.55000000000000004">
      <c r="B123" s="21"/>
      <c r="C123" s="6" t="s">
        <v>394</v>
      </c>
      <c r="D123" s="6"/>
      <c r="E123" s="6"/>
      <c r="F123" s="6"/>
      <c r="G123" s="6"/>
      <c r="H123" s="6"/>
      <c r="I123" s="6"/>
      <c r="J123" s="6"/>
      <c r="K123" s="6"/>
      <c r="L123" s="6"/>
      <c r="M123" s="93"/>
    </row>
    <row r="124" spans="2:13" x14ac:dyDescent="0.55000000000000004">
      <c r="B124" s="74" t="s">
        <v>163</v>
      </c>
      <c r="C124" s="6" t="s">
        <v>96</v>
      </c>
      <c r="D124" s="6"/>
      <c r="E124" s="6"/>
      <c r="F124" s="6"/>
      <c r="G124" s="6"/>
      <c r="H124" s="6"/>
      <c r="I124" s="6"/>
      <c r="J124" s="6"/>
      <c r="K124" s="6"/>
      <c r="L124" s="6"/>
      <c r="M124" s="93"/>
    </row>
    <row r="125" spans="2:13" x14ac:dyDescent="0.55000000000000004">
      <c r="B125" s="13" t="s">
        <v>851</v>
      </c>
      <c r="C125" s="7" t="s">
        <v>945</v>
      </c>
      <c r="D125" s="6"/>
      <c r="E125" s="6"/>
      <c r="F125" s="6"/>
      <c r="G125" s="6"/>
      <c r="H125" s="6"/>
      <c r="I125" s="6"/>
      <c r="J125" s="6"/>
      <c r="K125" s="6"/>
      <c r="L125" s="6"/>
      <c r="M125" s="93"/>
    </row>
    <row r="126" spans="2:13" x14ac:dyDescent="0.55000000000000004">
      <c r="B126" s="13" t="s">
        <v>850</v>
      </c>
      <c r="C126" s="7" t="s">
        <v>946</v>
      </c>
      <c r="D126" s="6"/>
      <c r="E126" s="6"/>
      <c r="F126" s="6"/>
      <c r="G126" s="6"/>
      <c r="H126" s="6"/>
      <c r="I126" s="6"/>
      <c r="J126" s="6"/>
      <c r="K126" s="6"/>
      <c r="L126" s="6"/>
      <c r="M126" s="93"/>
    </row>
    <row r="127" spans="2:13" x14ac:dyDescent="0.55000000000000004">
      <c r="B127" s="13" t="s">
        <v>849</v>
      </c>
      <c r="C127" s="7">
        <v>1</v>
      </c>
      <c r="D127" s="6"/>
      <c r="E127" s="6"/>
      <c r="F127" s="6"/>
      <c r="G127" s="6"/>
      <c r="H127" s="6"/>
      <c r="I127" s="6"/>
      <c r="J127" s="6"/>
      <c r="K127" s="6"/>
      <c r="L127" s="6"/>
      <c r="M127" s="93"/>
    </row>
    <row r="128" spans="2:13" x14ac:dyDescent="0.55000000000000004">
      <c r="B128" s="13" t="s">
        <v>1178</v>
      </c>
      <c r="C128" s="7">
        <v>3</v>
      </c>
      <c r="D128" s="6"/>
      <c r="E128" s="6"/>
      <c r="F128" s="6"/>
      <c r="G128" s="6"/>
      <c r="H128" s="6"/>
      <c r="I128" s="6"/>
      <c r="J128" s="6"/>
      <c r="K128" s="6"/>
      <c r="L128" s="6"/>
      <c r="M128" s="93"/>
    </row>
    <row r="129" spans="1:17" x14ac:dyDescent="0.55000000000000004">
      <c r="B129" s="13" t="s">
        <v>852</v>
      </c>
      <c r="C129" s="7">
        <v>9.5350000000000001</v>
      </c>
      <c r="D129" s="6"/>
      <c r="E129" s="6"/>
      <c r="F129" s="6"/>
      <c r="G129" s="6"/>
      <c r="H129" s="6"/>
      <c r="I129" s="6"/>
      <c r="J129" s="6"/>
      <c r="K129" s="6"/>
      <c r="L129" s="6"/>
      <c r="M129" s="93"/>
    </row>
    <row r="130" spans="1:17" x14ac:dyDescent="0.55000000000000004">
      <c r="B130" s="13" t="s">
        <v>853</v>
      </c>
      <c r="C130" s="7">
        <v>0.43099999999999999</v>
      </c>
      <c r="D130" s="6"/>
      <c r="E130" s="6"/>
      <c r="F130" s="6"/>
      <c r="G130" s="6"/>
      <c r="H130" s="6"/>
      <c r="I130" s="6"/>
      <c r="J130" s="6"/>
      <c r="K130" s="6"/>
      <c r="L130" s="6"/>
      <c r="M130" s="93"/>
    </row>
    <row r="131" spans="1:17" x14ac:dyDescent="0.55000000000000004">
      <c r="B131" s="13" t="s">
        <v>854</v>
      </c>
      <c r="C131" s="7">
        <v>24</v>
      </c>
      <c r="D131" s="6"/>
      <c r="E131" s="6"/>
      <c r="F131" s="6"/>
      <c r="G131" s="6"/>
      <c r="H131" s="6"/>
      <c r="I131" s="6"/>
      <c r="J131" s="6"/>
      <c r="K131" s="6"/>
      <c r="L131" s="6"/>
      <c r="M131" s="93"/>
    </row>
    <row r="132" spans="1:17" x14ac:dyDescent="0.55000000000000004">
      <c r="B132" s="13" t="s">
        <v>855</v>
      </c>
      <c r="C132" s="7">
        <v>10</v>
      </c>
      <c r="D132" s="6"/>
      <c r="E132" s="6"/>
      <c r="F132" s="6"/>
      <c r="G132" s="6"/>
      <c r="H132" s="6"/>
      <c r="I132" s="6"/>
      <c r="J132" s="6"/>
      <c r="K132" s="6"/>
      <c r="L132" s="6"/>
      <c r="M132" s="93"/>
    </row>
    <row r="133" spans="1:17" x14ac:dyDescent="0.55000000000000004">
      <c r="B133" s="13" t="s">
        <v>856</v>
      </c>
      <c r="C133" s="7" t="s">
        <v>946</v>
      </c>
      <c r="D133" s="6"/>
      <c r="E133" s="6"/>
      <c r="F133" s="6"/>
      <c r="G133" s="6"/>
      <c r="H133" s="6"/>
      <c r="I133" s="6"/>
      <c r="J133" s="6"/>
      <c r="K133" s="6"/>
      <c r="L133" s="6"/>
      <c r="M133" s="93"/>
    </row>
    <row r="134" spans="1:17" x14ac:dyDescent="0.55000000000000004">
      <c r="B134" s="21"/>
      <c r="C134" s="6" t="s">
        <v>394</v>
      </c>
      <c r="D134" s="6"/>
      <c r="E134" s="6"/>
      <c r="F134" s="6"/>
      <c r="G134" s="6"/>
      <c r="H134" s="6"/>
      <c r="I134" s="6"/>
      <c r="J134" s="6"/>
      <c r="K134" s="6"/>
      <c r="L134" s="6"/>
      <c r="M134" s="93"/>
    </row>
    <row r="135" spans="1:17" x14ac:dyDescent="0.55000000000000004">
      <c r="B135" s="74" t="s">
        <v>848</v>
      </c>
      <c r="C135" s="6" t="s">
        <v>29</v>
      </c>
      <c r="D135" s="6"/>
      <c r="E135" s="6"/>
      <c r="F135" s="6"/>
      <c r="G135" s="6"/>
      <c r="H135" s="6"/>
      <c r="I135" s="6"/>
      <c r="J135" s="6"/>
      <c r="K135" s="6"/>
      <c r="L135" s="6"/>
      <c r="M135" s="93"/>
    </row>
    <row r="136" spans="1:17" x14ac:dyDescent="0.55000000000000004">
      <c r="A136" s="30" t="s">
        <v>1554</v>
      </c>
      <c r="B136" s="13" t="s">
        <v>847</v>
      </c>
      <c r="C136" s="7">
        <v>0</v>
      </c>
      <c r="D136" s="6"/>
      <c r="E136" s="6"/>
      <c r="F136" s="6"/>
      <c r="G136" s="6"/>
      <c r="H136" s="6"/>
      <c r="I136" s="6"/>
      <c r="J136" s="6"/>
      <c r="K136" s="6"/>
      <c r="L136" s="6"/>
      <c r="M136" s="93"/>
    </row>
    <row r="137" spans="1:17" x14ac:dyDescent="0.55000000000000004">
      <c r="A137" s="30" t="s">
        <v>879</v>
      </c>
      <c r="B137" s="13" t="s">
        <v>1553</v>
      </c>
      <c r="C137" s="7" t="s">
        <v>924</v>
      </c>
      <c r="D137" s="6"/>
      <c r="E137" s="6"/>
      <c r="F137" s="6"/>
      <c r="G137" s="6"/>
      <c r="H137" s="6"/>
      <c r="I137" s="6"/>
      <c r="J137" s="6"/>
      <c r="K137" s="6"/>
      <c r="L137" s="6"/>
      <c r="M137" s="93"/>
    </row>
    <row r="138" spans="1:17" x14ac:dyDescent="0.55000000000000004">
      <c r="A138" s="30" t="s">
        <v>880</v>
      </c>
      <c r="B138" s="13" t="s">
        <v>842</v>
      </c>
      <c r="C138" s="7" t="s">
        <v>17</v>
      </c>
      <c r="D138" s="6"/>
      <c r="E138" s="6"/>
      <c r="F138" s="6"/>
      <c r="G138" s="6"/>
      <c r="H138" s="6"/>
      <c r="I138" s="6"/>
      <c r="J138" s="6"/>
      <c r="K138" s="6"/>
      <c r="L138" s="6"/>
      <c r="M138" s="93"/>
    </row>
    <row r="139" spans="1:17" x14ac:dyDescent="0.55000000000000004">
      <c r="B139" s="13" t="s">
        <v>843</v>
      </c>
      <c r="C139" s="7" t="s">
        <v>17</v>
      </c>
      <c r="D139" s="6"/>
      <c r="E139" s="6"/>
      <c r="F139" s="6"/>
      <c r="G139" s="6"/>
      <c r="H139" s="6"/>
      <c r="I139" s="6"/>
      <c r="J139" s="6"/>
      <c r="K139" s="6"/>
      <c r="L139" s="6"/>
      <c r="M139" s="93"/>
    </row>
    <row r="140" spans="1:17" x14ac:dyDescent="0.55000000000000004">
      <c r="B140" s="13" t="s">
        <v>844</v>
      </c>
      <c r="C140" s="7" t="s">
        <v>17</v>
      </c>
      <c r="D140" s="6"/>
      <c r="E140" s="6"/>
      <c r="F140" s="6"/>
      <c r="G140" s="6"/>
      <c r="H140" s="6"/>
      <c r="I140" s="6"/>
      <c r="J140" s="6"/>
      <c r="K140" s="6"/>
      <c r="L140" s="6"/>
      <c r="M140" s="93"/>
    </row>
    <row r="141" spans="1:17" x14ac:dyDescent="0.55000000000000004">
      <c r="B141" s="13" t="s">
        <v>845</v>
      </c>
      <c r="C141" s="7" t="s">
        <v>394</v>
      </c>
      <c r="D141" s="6"/>
      <c r="E141" s="6"/>
      <c r="F141" s="6"/>
      <c r="G141" s="6"/>
      <c r="H141" s="6"/>
      <c r="I141" s="6"/>
      <c r="J141" s="6"/>
      <c r="K141" s="6"/>
      <c r="L141" s="6"/>
      <c r="M141" s="93"/>
    </row>
    <row r="142" spans="1:17" x14ac:dyDescent="0.55000000000000004">
      <c r="A142" s="26" t="s">
        <v>916</v>
      </c>
      <c r="B142" s="13" t="s">
        <v>846</v>
      </c>
      <c r="C142" s="7" t="s">
        <v>394</v>
      </c>
      <c r="D142" s="6"/>
      <c r="E142" s="6"/>
      <c r="F142" s="6"/>
      <c r="G142" s="6"/>
      <c r="H142" s="6"/>
      <c r="I142" s="6"/>
      <c r="J142" s="6"/>
      <c r="K142" s="6"/>
      <c r="L142" s="6"/>
      <c r="M142" s="93"/>
      <c r="O142" s="2"/>
      <c r="P142" s="2"/>
      <c r="Q142" s="2"/>
    </row>
    <row r="143" spans="1:17" x14ac:dyDescent="0.55000000000000004">
      <c r="A143" t="s">
        <v>148</v>
      </c>
      <c r="B143" s="13" t="s">
        <v>837</v>
      </c>
      <c r="C143" s="7">
        <v>2</v>
      </c>
      <c r="D143" s="6"/>
      <c r="E143" s="6"/>
      <c r="F143" s="6"/>
      <c r="G143" s="6"/>
      <c r="H143" s="6"/>
      <c r="I143" s="6"/>
      <c r="J143" s="6"/>
      <c r="K143" s="6"/>
      <c r="L143" s="6"/>
      <c r="M143" s="93"/>
    </row>
    <row r="144" spans="1:17" x14ac:dyDescent="0.55000000000000004">
      <c r="B144" s="13" t="s">
        <v>838</v>
      </c>
      <c r="C144" s="7">
        <v>2</v>
      </c>
      <c r="D144" s="6"/>
      <c r="E144" s="6"/>
      <c r="F144" s="6"/>
      <c r="G144" s="6"/>
      <c r="H144" s="6"/>
      <c r="I144" s="6"/>
      <c r="J144" s="6"/>
      <c r="K144" s="6"/>
      <c r="L144" s="6"/>
      <c r="M144" s="93"/>
    </row>
    <row r="145" spans="1:13" x14ac:dyDescent="0.55000000000000004">
      <c r="B145" s="13" t="s">
        <v>839</v>
      </c>
      <c r="C145" s="7">
        <v>2</v>
      </c>
      <c r="D145" s="6"/>
      <c r="E145" s="6"/>
      <c r="F145" s="6"/>
      <c r="G145" s="6"/>
      <c r="H145" s="6"/>
      <c r="I145" s="6"/>
      <c r="J145" s="6"/>
      <c r="K145" s="6"/>
      <c r="L145" s="6"/>
      <c r="M145" s="93"/>
    </row>
    <row r="146" spans="1:13" x14ac:dyDescent="0.55000000000000004">
      <c r="B146" s="13" t="s">
        <v>840</v>
      </c>
      <c r="C146" s="7">
        <v>2</v>
      </c>
      <c r="D146" s="6"/>
      <c r="E146" s="6"/>
      <c r="F146" s="6"/>
      <c r="G146" s="6"/>
      <c r="H146" s="6"/>
      <c r="I146" s="6"/>
      <c r="J146" s="6"/>
      <c r="K146" s="6"/>
      <c r="L146" s="6"/>
      <c r="M146" s="93"/>
    </row>
    <row r="147" spans="1:13" x14ac:dyDescent="0.55000000000000004">
      <c r="A147" s="26" t="s">
        <v>916</v>
      </c>
      <c r="B147" s="13" t="s">
        <v>841</v>
      </c>
      <c r="C147" s="7" t="s">
        <v>394</v>
      </c>
      <c r="D147" s="6"/>
      <c r="E147" s="6"/>
      <c r="F147" s="6"/>
      <c r="G147" s="6"/>
      <c r="H147" s="6"/>
      <c r="I147" s="6"/>
      <c r="J147" s="6"/>
      <c r="K147" s="6"/>
      <c r="L147" s="6"/>
      <c r="M147" s="93"/>
    </row>
    <row r="148" spans="1:13" x14ac:dyDescent="0.55000000000000004">
      <c r="B148" s="13" t="s">
        <v>832</v>
      </c>
      <c r="C148" s="7">
        <v>43</v>
      </c>
      <c r="D148" s="6"/>
      <c r="E148" s="6"/>
      <c r="F148" s="6"/>
      <c r="G148" s="6"/>
      <c r="H148" s="6"/>
      <c r="I148" s="6"/>
      <c r="J148" s="6"/>
      <c r="K148" s="6"/>
      <c r="L148" s="6"/>
      <c r="M148" s="93"/>
    </row>
    <row r="149" spans="1:13" x14ac:dyDescent="0.55000000000000004">
      <c r="B149" s="13" t="s">
        <v>833</v>
      </c>
      <c r="C149" s="7">
        <v>43</v>
      </c>
      <c r="D149" s="6"/>
      <c r="E149" s="6"/>
      <c r="F149" s="6"/>
      <c r="G149" s="6"/>
      <c r="H149" s="6"/>
      <c r="I149" s="6"/>
      <c r="J149" s="6"/>
      <c r="K149" s="6"/>
      <c r="L149" s="6"/>
      <c r="M149" s="93"/>
    </row>
    <row r="150" spans="1:13" x14ac:dyDescent="0.55000000000000004">
      <c r="B150" s="13" t="s">
        <v>834</v>
      </c>
      <c r="C150" s="7">
        <v>43</v>
      </c>
      <c r="D150" s="6"/>
      <c r="E150" s="6"/>
      <c r="F150" s="6"/>
      <c r="G150" s="6"/>
      <c r="H150" s="6"/>
      <c r="I150" s="6"/>
      <c r="J150" s="6"/>
      <c r="K150" s="6"/>
      <c r="L150" s="6"/>
      <c r="M150" s="93"/>
    </row>
    <row r="151" spans="1:13" x14ac:dyDescent="0.55000000000000004">
      <c r="B151" s="13" t="s">
        <v>835</v>
      </c>
      <c r="C151" s="7">
        <v>43</v>
      </c>
      <c r="D151" s="6"/>
      <c r="E151" s="6"/>
      <c r="F151" s="6"/>
      <c r="G151" s="6"/>
      <c r="H151" s="6"/>
      <c r="I151" s="6"/>
      <c r="J151" s="6"/>
      <c r="K151" s="6"/>
      <c r="L151" s="6"/>
      <c r="M151" s="93"/>
    </row>
    <row r="152" spans="1:13" x14ac:dyDescent="0.55000000000000004">
      <c r="A152" s="26" t="s">
        <v>916</v>
      </c>
      <c r="B152" s="13" t="s">
        <v>836</v>
      </c>
      <c r="C152" s="7" t="s">
        <v>394</v>
      </c>
      <c r="D152" s="6"/>
      <c r="E152" s="6"/>
      <c r="F152" s="6"/>
      <c r="G152" s="6"/>
      <c r="H152" s="6"/>
      <c r="I152" s="6"/>
      <c r="J152" s="6"/>
      <c r="K152" s="6"/>
      <c r="L152" s="6"/>
      <c r="M152" s="93"/>
    </row>
    <row r="153" spans="1:13" x14ac:dyDescent="0.55000000000000004">
      <c r="B153" s="13" t="s">
        <v>827</v>
      </c>
      <c r="C153" s="7" t="s">
        <v>1374</v>
      </c>
      <c r="D153" s="6"/>
      <c r="E153" s="6"/>
      <c r="F153" s="6"/>
      <c r="G153" s="6"/>
      <c r="H153" s="6"/>
      <c r="I153" s="6"/>
      <c r="J153" s="6"/>
      <c r="K153" s="6"/>
      <c r="L153" s="6"/>
      <c r="M153" s="93"/>
    </row>
    <row r="154" spans="1:13" x14ac:dyDescent="0.55000000000000004">
      <c r="B154" s="13" t="s">
        <v>831</v>
      </c>
      <c r="C154" s="7" t="s">
        <v>1374</v>
      </c>
      <c r="D154" s="6"/>
      <c r="E154" s="6"/>
      <c r="F154" s="6"/>
      <c r="G154" s="6"/>
      <c r="H154" s="6"/>
      <c r="I154" s="6"/>
      <c r="J154" s="6"/>
      <c r="K154" s="6"/>
      <c r="L154" s="6"/>
      <c r="M154" s="93"/>
    </row>
    <row r="155" spans="1:13" x14ac:dyDescent="0.55000000000000004">
      <c r="B155" s="13" t="s">
        <v>830</v>
      </c>
      <c r="C155" s="7" t="s">
        <v>1374</v>
      </c>
      <c r="D155" s="6"/>
      <c r="E155" s="6"/>
      <c r="F155" s="6"/>
      <c r="G155" s="6"/>
      <c r="H155" s="6"/>
      <c r="I155" s="6"/>
      <c r="J155" s="6"/>
      <c r="K155" s="6"/>
      <c r="L155" s="6"/>
      <c r="M155" s="93"/>
    </row>
    <row r="156" spans="1:13" x14ac:dyDescent="0.55000000000000004">
      <c r="B156" s="13" t="s">
        <v>829</v>
      </c>
      <c r="C156" s="7" t="s">
        <v>1792</v>
      </c>
      <c r="D156" s="6"/>
      <c r="E156" s="6"/>
      <c r="F156" s="6"/>
      <c r="G156" s="6"/>
      <c r="H156" s="6"/>
      <c r="I156" s="6"/>
      <c r="J156" s="6"/>
      <c r="K156" s="6"/>
      <c r="L156" s="6"/>
      <c r="M156" s="93"/>
    </row>
    <row r="157" spans="1:13" x14ac:dyDescent="0.55000000000000004">
      <c r="A157" s="26" t="s">
        <v>916</v>
      </c>
      <c r="B157" s="13" t="s">
        <v>828</v>
      </c>
      <c r="C157" s="7" t="s">
        <v>394</v>
      </c>
      <c r="D157" s="6"/>
      <c r="E157" s="6"/>
      <c r="F157" s="6"/>
      <c r="G157" s="6"/>
      <c r="H157" s="6"/>
      <c r="I157" s="6"/>
      <c r="J157" s="6"/>
      <c r="K157" s="6"/>
      <c r="L157" s="6"/>
      <c r="M157" s="93"/>
    </row>
    <row r="158" spans="1:13" x14ac:dyDescent="0.55000000000000004">
      <c r="B158" s="13" t="s">
        <v>822</v>
      </c>
      <c r="C158" s="7">
        <v>11.7</v>
      </c>
      <c r="D158" s="6"/>
      <c r="E158" s="6"/>
      <c r="F158" s="6"/>
      <c r="G158" s="6"/>
      <c r="H158" s="6"/>
      <c r="I158" s="6"/>
      <c r="J158" s="6"/>
      <c r="K158" s="6"/>
      <c r="L158" s="6"/>
      <c r="M158" s="93"/>
    </row>
    <row r="159" spans="1:13" x14ac:dyDescent="0.55000000000000004">
      <c r="B159" s="13" t="s">
        <v>823</v>
      </c>
      <c r="C159" s="7">
        <v>4.7</v>
      </c>
      <c r="D159" s="6"/>
      <c r="E159" s="6"/>
      <c r="F159" s="6"/>
      <c r="G159" s="6"/>
      <c r="H159" s="6"/>
      <c r="I159" s="6"/>
      <c r="J159" s="6"/>
      <c r="K159" s="6"/>
      <c r="L159" s="6"/>
      <c r="M159" s="93"/>
    </row>
    <row r="160" spans="1:13" x14ac:dyDescent="0.55000000000000004">
      <c r="B160" s="13" t="s">
        <v>824</v>
      </c>
      <c r="C160" s="7">
        <v>15.6</v>
      </c>
      <c r="D160" s="6"/>
      <c r="E160" s="6"/>
      <c r="F160" s="6"/>
      <c r="G160" s="6"/>
      <c r="H160" s="6"/>
      <c r="I160" s="6"/>
      <c r="J160" s="6"/>
      <c r="K160" s="6"/>
      <c r="L160" s="6"/>
      <c r="M160" s="93"/>
    </row>
    <row r="161" spans="1:13" x14ac:dyDescent="0.55000000000000004">
      <c r="B161" s="13" t="s">
        <v>825</v>
      </c>
      <c r="C161" s="7">
        <v>20</v>
      </c>
      <c r="D161" s="6"/>
      <c r="E161" s="6"/>
      <c r="F161" s="6"/>
      <c r="G161" s="6"/>
      <c r="H161" s="6"/>
      <c r="I161" s="6"/>
      <c r="J161" s="6"/>
      <c r="K161" s="6"/>
      <c r="L161" s="6"/>
      <c r="M161" s="93"/>
    </row>
    <row r="162" spans="1:13" x14ac:dyDescent="0.55000000000000004">
      <c r="A162" s="26" t="s">
        <v>916</v>
      </c>
      <c r="B162" s="13" t="s">
        <v>826</v>
      </c>
      <c r="C162" s="7" t="s">
        <v>394</v>
      </c>
      <c r="D162" s="6"/>
      <c r="E162" s="6"/>
      <c r="F162" s="6"/>
      <c r="G162" s="6"/>
      <c r="H162" s="6"/>
      <c r="I162" s="6"/>
      <c r="J162" s="6"/>
      <c r="K162" s="6"/>
      <c r="L162" s="6"/>
      <c r="M162" s="93"/>
    </row>
    <row r="163" spans="1:13" x14ac:dyDescent="0.55000000000000004">
      <c r="B163" s="13" t="s">
        <v>817</v>
      </c>
      <c r="C163" s="7">
        <v>313</v>
      </c>
      <c r="D163" s="6"/>
      <c r="E163" s="6"/>
      <c r="F163" s="6"/>
      <c r="G163" s="6"/>
      <c r="H163" s="6"/>
      <c r="I163" s="6"/>
      <c r="J163" s="6"/>
      <c r="K163" s="6"/>
      <c r="L163" s="6"/>
      <c r="M163" s="93"/>
    </row>
    <row r="164" spans="1:13" x14ac:dyDescent="0.55000000000000004">
      <c r="B164" s="13" t="s">
        <v>818</v>
      </c>
      <c r="C164" s="7">
        <v>240</v>
      </c>
      <c r="D164" s="6"/>
      <c r="E164" s="6"/>
      <c r="F164" s="6"/>
      <c r="G164" s="6"/>
      <c r="H164" s="6"/>
      <c r="I164" s="6"/>
      <c r="J164" s="6"/>
      <c r="K164" s="6"/>
      <c r="L164" s="6"/>
      <c r="M164" s="93"/>
    </row>
    <row r="165" spans="1:13" x14ac:dyDescent="0.55000000000000004">
      <c r="B165" s="13" t="s">
        <v>819</v>
      </c>
      <c r="C165" s="7">
        <v>326</v>
      </c>
      <c r="D165" s="6"/>
      <c r="E165" s="6"/>
      <c r="F165" s="6"/>
      <c r="G165" s="6"/>
      <c r="H165" s="6"/>
      <c r="I165" s="6"/>
      <c r="J165" s="6"/>
      <c r="K165" s="6"/>
      <c r="L165" s="6"/>
      <c r="M165" s="93"/>
    </row>
    <row r="166" spans="1:13" x14ac:dyDescent="0.55000000000000004">
      <c r="B166" s="13" t="s">
        <v>820</v>
      </c>
      <c r="C166" s="7">
        <v>1</v>
      </c>
      <c r="D166" s="6"/>
      <c r="E166" s="6"/>
      <c r="F166" s="6"/>
      <c r="G166" s="6"/>
      <c r="H166" s="6"/>
      <c r="I166" s="6"/>
      <c r="J166" s="6"/>
      <c r="K166" s="6"/>
      <c r="L166" s="6"/>
      <c r="M166" s="93"/>
    </row>
    <row r="167" spans="1:13" x14ac:dyDescent="0.55000000000000004">
      <c r="A167" s="26" t="s">
        <v>916</v>
      </c>
      <c r="B167" s="13" t="s">
        <v>821</v>
      </c>
      <c r="C167" s="7" t="s">
        <v>394</v>
      </c>
      <c r="D167" s="6"/>
      <c r="E167" s="6"/>
      <c r="F167" s="6"/>
      <c r="G167" s="6"/>
      <c r="H167" s="6"/>
      <c r="I167" s="6"/>
      <c r="J167" s="6"/>
      <c r="K167" s="6"/>
      <c r="L167" s="6"/>
      <c r="M167" s="93"/>
    </row>
    <row r="168" spans="1:13" x14ac:dyDescent="0.55000000000000004">
      <c r="B168" s="21"/>
      <c r="C168" s="6" t="s">
        <v>394</v>
      </c>
      <c r="D168" s="6"/>
      <c r="E168" s="6"/>
      <c r="F168" s="6"/>
      <c r="G168" s="6"/>
      <c r="H168" s="6"/>
      <c r="I168" s="6"/>
      <c r="J168" s="6"/>
      <c r="K168" s="6"/>
      <c r="L168" s="6"/>
      <c r="M168" s="93"/>
    </row>
    <row r="169" spans="1:13" x14ac:dyDescent="0.55000000000000004">
      <c r="B169" s="74" t="s">
        <v>32</v>
      </c>
      <c r="C169" s="25" t="s">
        <v>97</v>
      </c>
      <c r="D169" s="6"/>
      <c r="E169" s="6"/>
      <c r="F169" s="6"/>
      <c r="G169" s="6"/>
      <c r="H169" s="6"/>
      <c r="I169" s="6"/>
      <c r="J169" s="6"/>
      <c r="K169" s="6"/>
      <c r="L169" s="6"/>
      <c r="M169" s="93"/>
    </row>
    <row r="170" spans="1:13" x14ac:dyDescent="0.55000000000000004">
      <c r="B170" s="13" t="s">
        <v>233</v>
      </c>
      <c r="C170" s="7"/>
      <c r="D170" s="6"/>
      <c r="E170" s="6"/>
      <c r="F170" s="6"/>
      <c r="G170" s="6"/>
      <c r="H170" s="6"/>
      <c r="I170" s="6"/>
      <c r="J170" s="6"/>
      <c r="K170" s="6"/>
      <c r="L170" s="6"/>
      <c r="M170" s="93"/>
    </row>
    <row r="171" spans="1:13" x14ac:dyDescent="0.55000000000000004">
      <c r="B171" s="13" t="s">
        <v>234</v>
      </c>
      <c r="C171" s="7"/>
      <c r="D171" s="6"/>
      <c r="E171" s="6"/>
      <c r="F171" s="6"/>
      <c r="G171" s="6"/>
      <c r="H171" s="6"/>
      <c r="I171" s="6"/>
      <c r="J171" s="6"/>
      <c r="K171" s="6"/>
      <c r="L171" s="6"/>
      <c r="M171" s="93"/>
    </row>
    <row r="172" spans="1:13" x14ac:dyDescent="0.55000000000000004">
      <c r="B172" s="13" t="s">
        <v>288</v>
      </c>
      <c r="C172" s="7"/>
      <c r="D172" s="6"/>
      <c r="E172" s="6"/>
      <c r="F172" s="6"/>
      <c r="G172" s="6"/>
      <c r="H172" s="6"/>
      <c r="I172" s="6"/>
      <c r="J172" s="6"/>
      <c r="K172" s="6"/>
      <c r="L172" s="6"/>
      <c r="M172" s="93"/>
    </row>
    <row r="173" spans="1:13" x14ac:dyDescent="0.55000000000000004">
      <c r="B173" s="13" t="s">
        <v>289</v>
      </c>
      <c r="C173" s="7"/>
      <c r="D173" s="6"/>
      <c r="E173" s="6"/>
      <c r="F173" s="6"/>
      <c r="G173" s="6"/>
      <c r="H173" s="6"/>
      <c r="I173" s="6"/>
      <c r="J173" s="6"/>
      <c r="K173" s="6"/>
      <c r="L173" s="6"/>
      <c r="M173" s="93"/>
    </row>
    <row r="174" spans="1:13" x14ac:dyDescent="0.55000000000000004">
      <c r="B174" s="13" t="s">
        <v>290</v>
      </c>
      <c r="C174" s="7"/>
      <c r="D174" s="6"/>
      <c r="E174" s="6"/>
      <c r="F174" s="6"/>
      <c r="G174" s="6"/>
      <c r="H174" s="6"/>
      <c r="I174" s="6"/>
      <c r="J174" s="6"/>
      <c r="K174" s="6"/>
      <c r="L174" s="6"/>
      <c r="M174" s="93"/>
    </row>
    <row r="175" spans="1:13" x14ac:dyDescent="0.55000000000000004">
      <c r="B175" s="13" t="s">
        <v>291</v>
      </c>
      <c r="C175" s="7"/>
      <c r="D175" s="6"/>
      <c r="E175" s="6"/>
      <c r="F175" s="6"/>
      <c r="G175" s="6"/>
      <c r="H175" s="6"/>
      <c r="I175" s="6"/>
      <c r="J175" s="6"/>
      <c r="K175" s="6"/>
      <c r="L175" s="6"/>
      <c r="M175" s="93"/>
    </row>
    <row r="176" spans="1:13" x14ac:dyDescent="0.55000000000000004">
      <c r="B176" s="13" t="s">
        <v>295</v>
      </c>
      <c r="C176" s="7"/>
      <c r="D176" s="6"/>
      <c r="E176" s="6"/>
      <c r="F176" s="6"/>
      <c r="G176" s="6"/>
      <c r="H176" s="6"/>
      <c r="I176" s="6"/>
      <c r="J176" s="6"/>
      <c r="K176" s="6"/>
      <c r="L176" s="6"/>
      <c r="M176" s="93"/>
    </row>
    <row r="177" spans="2:19" x14ac:dyDescent="0.55000000000000004">
      <c r="B177" s="13" t="s">
        <v>294</v>
      </c>
      <c r="C177" s="7"/>
      <c r="D177" s="6"/>
      <c r="E177" s="6"/>
      <c r="F177" s="6"/>
      <c r="G177" s="6"/>
      <c r="H177" s="6"/>
      <c r="I177" s="6"/>
      <c r="J177" s="6"/>
      <c r="K177" s="6"/>
      <c r="L177" s="6"/>
      <c r="M177" s="93"/>
    </row>
    <row r="178" spans="2:19" x14ac:dyDescent="0.55000000000000004">
      <c r="B178" s="13" t="s">
        <v>292</v>
      </c>
      <c r="C178" s="7"/>
      <c r="D178" s="6"/>
      <c r="E178" s="6"/>
      <c r="F178" s="6"/>
      <c r="G178" s="6"/>
      <c r="H178" s="6"/>
      <c r="I178" s="6"/>
      <c r="J178" s="6"/>
      <c r="K178" s="6"/>
      <c r="L178" s="6"/>
      <c r="M178" s="93"/>
    </row>
    <row r="179" spans="2:19" x14ac:dyDescent="0.55000000000000004">
      <c r="B179" s="13" t="s">
        <v>293</v>
      </c>
      <c r="C179" s="7"/>
      <c r="D179" s="6"/>
      <c r="E179" s="6"/>
      <c r="F179" s="6"/>
      <c r="G179" s="6"/>
      <c r="H179" s="6"/>
      <c r="I179" s="6"/>
      <c r="J179" s="6"/>
      <c r="K179" s="6"/>
      <c r="L179" s="6"/>
      <c r="M179" s="93"/>
    </row>
    <row r="180" spans="2:19" x14ac:dyDescent="0.55000000000000004">
      <c r="B180" s="13" t="s">
        <v>287</v>
      </c>
      <c r="C180" s="7"/>
      <c r="D180" s="6"/>
      <c r="E180" s="6"/>
      <c r="F180" s="6"/>
      <c r="G180" s="6"/>
      <c r="H180" s="6"/>
      <c r="I180" s="6"/>
      <c r="J180" s="6"/>
      <c r="K180" s="6"/>
      <c r="L180" s="6"/>
      <c r="M180" s="93"/>
    </row>
    <row r="181" spans="2:19" x14ac:dyDescent="0.55000000000000004">
      <c r="B181" s="13" t="s">
        <v>282</v>
      </c>
      <c r="C181" s="7"/>
      <c r="D181" s="6"/>
      <c r="E181" s="6"/>
      <c r="F181" s="6"/>
      <c r="G181" s="6"/>
      <c r="H181" s="6"/>
      <c r="I181" s="6"/>
      <c r="J181" s="6"/>
      <c r="K181" s="6"/>
      <c r="L181" s="6"/>
      <c r="M181" s="93"/>
    </row>
    <row r="182" spans="2:19" x14ac:dyDescent="0.55000000000000004">
      <c r="B182" s="13" t="s">
        <v>283</v>
      </c>
      <c r="C182" s="7"/>
      <c r="D182" s="6"/>
      <c r="E182" s="6"/>
      <c r="F182" s="6"/>
      <c r="G182" s="6"/>
      <c r="H182" s="6"/>
      <c r="I182" s="6"/>
      <c r="J182" s="6"/>
      <c r="K182" s="6"/>
      <c r="L182" s="6"/>
      <c r="M182" s="93"/>
    </row>
    <row r="183" spans="2:19" x14ac:dyDescent="0.55000000000000004">
      <c r="B183" s="13" t="s">
        <v>297</v>
      </c>
      <c r="C183" s="7"/>
      <c r="D183" s="6"/>
      <c r="E183" s="6"/>
      <c r="F183" s="6"/>
      <c r="G183" s="6"/>
      <c r="H183" s="6"/>
      <c r="I183" s="6"/>
      <c r="J183" s="6"/>
      <c r="K183" s="6"/>
      <c r="L183" s="6"/>
      <c r="M183" s="93"/>
    </row>
    <row r="184" spans="2:19" x14ac:dyDescent="0.55000000000000004">
      <c r="B184" s="13" t="s">
        <v>299</v>
      </c>
      <c r="C184" s="7"/>
      <c r="D184" s="6"/>
      <c r="E184" s="6"/>
      <c r="F184" s="6"/>
      <c r="G184" s="6"/>
      <c r="H184" s="6"/>
      <c r="I184" s="6"/>
      <c r="J184" s="6"/>
      <c r="K184" s="6"/>
      <c r="L184" s="6"/>
      <c r="M184" s="93"/>
    </row>
    <row r="185" spans="2:19" x14ac:dyDescent="0.55000000000000004">
      <c r="B185" s="13" t="s">
        <v>286</v>
      </c>
      <c r="C185" s="7"/>
      <c r="D185" s="6"/>
      <c r="E185" s="6"/>
      <c r="F185" s="6"/>
      <c r="G185" s="6"/>
      <c r="H185" s="6"/>
      <c r="I185" s="6"/>
      <c r="J185" s="6"/>
      <c r="K185" s="6"/>
      <c r="L185" s="6"/>
      <c r="M185" s="93"/>
    </row>
    <row r="186" spans="2:19" x14ac:dyDescent="0.55000000000000004">
      <c r="B186" s="13" t="s">
        <v>285</v>
      </c>
      <c r="C186" s="7"/>
      <c r="D186" s="6"/>
      <c r="E186" s="6"/>
      <c r="F186" s="6"/>
      <c r="G186" s="6"/>
      <c r="H186" s="6"/>
      <c r="I186" s="6"/>
      <c r="J186" s="6"/>
      <c r="K186" s="6"/>
      <c r="L186" s="6"/>
      <c r="M186" s="93"/>
      <c r="N186" s="11"/>
      <c r="O186" s="11"/>
      <c r="P186" s="11"/>
      <c r="Q186" s="11"/>
      <c r="R186" s="11"/>
      <c r="S186" s="2"/>
    </row>
    <row r="187" spans="2:19" x14ac:dyDescent="0.55000000000000004">
      <c r="B187" s="13" t="s">
        <v>284</v>
      </c>
      <c r="C187" s="7"/>
      <c r="D187" s="6"/>
      <c r="E187" s="6"/>
      <c r="F187" s="6"/>
      <c r="G187" s="6"/>
      <c r="H187" s="6"/>
      <c r="I187" s="6"/>
      <c r="J187" s="6"/>
      <c r="K187" s="6"/>
      <c r="L187" s="6"/>
      <c r="M187" s="93"/>
    </row>
    <row r="188" spans="2:19" x14ac:dyDescent="0.55000000000000004">
      <c r="B188" s="13" t="s">
        <v>296</v>
      </c>
      <c r="C188" s="7"/>
      <c r="D188" s="6"/>
      <c r="E188" s="6"/>
      <c r="F188" s="6"/>
      <c r="G188" s="6"/>
      <c r="H188" s="6"/>
      <c r="I188" s="6"/>
      <c r="J188" s="6"/>
      <c r="K188" s="6"/>
      <c r="L188" s="6"/>
      <c r="M188" s="93"/>
    </row>
    <row r="189" spans="2:19" x14ac:dyDescent="0.55000000000000004">
      <c r="B189" s="13" t="s">
        <v>298</v>
      </c>
      <c r="C189" s="7"/>
      <c r="D189" s="6"/>
      <c r="E189" s="6"/>
      <c r="F189" s="6"/>
      <c r="G189" s="6"/>
      <c r="H189" s="6"/>
      <c r="I189" s="6"/>
      <c r="J189" s="6"/>
      <c r="K189" s="6"/>
      <c r="L189" s="6"/>
      <c r="M189" s="93"/>
    </row>
    <row r="190" spans="2:19" x14ac:dyDescent="0.55000000000000004">
      <c r="B190" s="21"/>
      <c r="C190" s="6" t="s">
        <v>394</v>
      </c>
      <c r="D190" s="6"/>
      <c r="E190" s="6"/>
      <c r="F190" s="6"/>
      <c r="G190" s="6"/>
      <c r="H190" s="6"/>
      <c r="I190" s="6"/>
      <c r="J190" s="6"/>
      <c r="K190" s="6"/>
      <c r="L190" s="6"/>
      <c r="M190" s="93"/>
    </row>
    <row r="191" spans="2:19" x14ac:dyDescent="0.55000000000000004">
      <c r="B191" s="74" t="s">
        <v>167</v>
      </c>
      <c r="C191" s="6" t="s">
        <v>168</v>
      </c>
      <c r="D191" s="6"/>
      <c r="E191" s="6"/>
      <c r="F191" s="6"/>
      <c r="G191" s="6"/>
      <c r="H191" s="6"/>
      <c r="I191" s="6"/>
      <c r="J191" s="6"/>
      <c r="K191" s="6"/>
      <c r="L191" s="6"/>
      <c r="M191" s="93"/>
    </row>
    <row r="192" spans="2:19" x14ac:dyDescent="0.55000000000000004">
      <c r="B192" s="13" t="s">
        <v>307</v>
      </c>
      <c r="C192" s="7"/>
      <c r="D192" s="6"/>
      <c r="E192" s="6"/>
      <c r="F192" s="6"/>
      <c r="G192" s="6"/>
      <c r="H192" s="6"/>
      <c r="I192" s="6"/>
      <c r="J192" s="6"/>
      <c r="K192" s="6"/>
      <c r="L192" s="6"/>
      <c r="M192" s="93"/>
    </row>
    <row r="193" spans="2:13" x14ac:dyDescent="0.55000000000000004">
      <c r="B193" s="13" t="s">
        <v>306</v>
      </c>
      <c r="C193" s="7"/>
      <c r="D193" s="6"/>
      <c r="E193" s="6"/>
      <c r="F193" s="6"/>
      <c r="G193" s="6"/>
      <c r="H193" s="6"/>
      <c r="I193" s="6"/>
      <c r="J193" s="6"/>
      <c r="K193" s="6"/>
      <c r="L193" s="6"/>
      <c r="M193" s="93"/>
    </row>
    <row r="194" spans="2:13" x14ac:dyDescent="0.55000000000000004">
      <c r="B194" s="13" t="s">
        <v>308</v>
      </c>
      <c r="C194" s="7"/>
      <c r="D194" s="6"/>
      <c r="E194" s="6"/>
      <c r="F194" s="6"/>
      <c r="G194" s="6"/>
      <c r="H194" s="6"/>
      <c r="I194" s="6"/>
      <c r="J194" s="6"/>
      <c r="K194" s="6"/>
      <c r="L194" s="6"/>
      <c r="M194" s="93"/>
    </row>
    <row r="195" spans="2:13" x14ac:dyDescent="0.55000000000000004">
      <c r="B195" s="13" t="s">
        <v>309</v>
      </c>
      <c r="C195" s="7"/>
      <c r="D195" s="6"/>
      <c r="E195" s="6"/>
      <c r="F195" s="6"/>
      <c r="G195" s="6"/>
      <c r="H195" s="6"/>
      <c r="I195" s="6"/>
      <c r="J195" s="6"/>
      <c r="K195" s="6"/>
      <c r="L195" s="6"/>
      <c r="M195" s="93"/>
    </row>
    <row r="196" spans="2:13" x14ac:dyDescent="0.55000000000000004">
      <c r="B196" s="13" t="s">
        <v>310</v>
      </c>
      <c r="C196" s="7"/>
      <c r="D196" s="6"/>
      <c r="E196" s="6"/>
      <c r="F196" s="6"/>
      <c r="G196" s="6"/>
      <c r="H196" s="6"/>
      <c r="I196" s="6"/>
      <c r="J196" s="6"/>
      <c r="K196" s="6"/>
      <c r="L196" s="6"/>
      <c r="M196" s="93"/>
    </row>
    <row r="197" spans="2:13" x14ac:dyDescent="0.55000000000000004">
      <c r="B197" s="13" t="s">
        <v>311</v>
      </c>
      <c r="C197" s="7"/>
      <c r="D197" s="6"/>
      <c r="E197" s="6"/>
      <c r="F197" s="6"/>
      <c r="G197" s="6"/>
      <c r="H197" s="6"/>
      <c r="I197" s="6"/>
      <c r="J197" s="6"/>
      <c r="K197" s="6"/>
      <c r="L197" s="6"/>
      <c r="M197" s="93"/>
    </row>
    <row r="198" spans="2:13" x14ac:dyDescent="0.55000000000000004">
      <c r="B198" s="13" t="s">
        <v>312</v>
      </c>
      <c r="C198" s="7"/>
      <c r="D198" s="6"/>
      <c r="E198" s="6"/>
      <c r="F198" s="6"/>
      <c r="G198" s="6"/>
      <c r="H198" s="6"/>
      <c r="I198" s="6"/>
      <c r="J198" s="6"/>
      <c r="K198" s="6"/>
      <c r="L198" s="6"/>
      <c r="M198" s="93"/>
    </row>
    <row r="199" spans="2:13" x14ac:dyDescent="0.55000000000000004">
      <c r="B199" s="13" t="s">
        <v>399</v>
      </c>
      <c r="C199" s="7"/>
      <c r="D199" s="6"/>
      <c r="E199" s="6"/>
      <c r="F199" s="6"/>
      <c r="G199" s="6"/>
      <c r="H199" s="6"/>
      <c r="I199" s="6"/>
      <c r="J199" s="6"/>
      <c r="K199" s="6"/>
      <c r="L199" s="6"/>
      <c r="M199" s="93"/>
    </row>
    <row r="200" spans="2:13" x14ac:dyDescent="0.55000000000000004">
      <c r="B200" s="13" t="s">
        <v>313</v>
      </c>
      <c r="C200" s="7"/>
      <c r="D200" s="6"/>
      <c r="E200" s="6"/>
      <c r="F200" s="6"/>
      <c r="G200" s="6"/>
      <c r="H200" s="6"/>
      <c r="I200" s="6"/>
      <c r="J200" s="6"/>
      <c r="K200" s="6"/>
      <c r="L200" s="6"/>
      <c r="M200" s="93"/>
    </row>
    <row r="201" spans="2:13" x14ac:dyDescent="0.55000000000000004">
      <c r="B201" s="13" t="s">
        <v>314</v>
      </c>
      <c r="C201" s="7"/>
      <c r="D201" s="6"/>
      <c r="E201" s="6"/>
      <c r="F201" s="6"/>
      <c r="G201" s="6"/>
      <c r="H201" s="6"/>
      <c r="I201" s="6"/>
      <c r="J201" s="6"/>
      <c r="K201" s="6"/>
      <c r="L201" s="6"/>
      <c r="M201" s="93"/>
    </row>
    <row r="202" spans="2:13" x14ac:dyDescent="0.55000000000000004">
      <c r="B202" s="13" t="s">
        <v>315</v>
      </c>
      <c r="C202" s="7"/>
      <c r="D202" s="6"/>
      <c r="E202" s="6"/>
      <c r="F202" s="6"/>
      <c r="G202" s="6"/>
      <c r="H202" s="6"/>
      <c r="I202" s="6"/>
      <c r="J202" s="6"/>
      <c r="K202" s="6"/>
      <c r="L202" s="6"/>
      <c r="M202" s="93"/>
    </row>
    <row r="203" spans="2:13" x14ac:dyDescent="0.55000000000000004">
      <c r="B203" s="13" t="s">
        <v>316</v>
      </c>
      <c r="C203" s="7"/>
      <c r="D203" s="6"/>
      <c r="E203" s="6"/>
      <c r="F203" s="6"/>
      <c r="G203" s="6"/>
      <c r="H203" s="6"/>
      <c r="I203" s="6"/>
      <c r="J203" s="6"/>
      <c r="K203" s="6"/>
      <c r="L203" s="6"/>
      <c r="M203" s="93"/>
    </row>
    <row r="204" spans="2:13" x14ac:dyDescent="0.55000000000000004">
      <c r="B204" s="13" t="s">
        <v>300</v>
      </c>
      <c r="C204" s="7"/>
      <c r="D204" s="6"/>
      <c r="E204" s="6"/>
      <c r="F204" s="6"/>
      <c r="G204" s="6"/>
      <c r="H204" s="6"/>
      <c r="I204" s="6"/>
      <c r="J204" s="6"/>
      <c r="K204" s="6"/>
      <c r="L204" s="6"/>
      <c r="M204" s="93"/>
    </row>
    <row r="205" spans="2:13" x14ac:dyDescent="0.55000000000000004">
      <c r="B205" s="13" t="s">
        <v>317</v>
      </c>
      <c r="C205" s="7"/>
      <c r="D205" s="6"/>
      <c r="E205" s="6"/>
      <c r="F205" s="6"/>
      <c r="G205" s="6"/>
      <c r="H205" s="6"/>
      <c r="I205" s="6"/>
      <c r="J205" s="6"/>
      <c r="K205" s="6"/>
      <c r="L205" s="6"/>
      <c r="M205" s="93"/>
    </row>
    <row r="206" spans="2:13" x14ac:dyDescent="0.55000000000000004">
      <c r="B206" s="13" t="s">
        <v>401</v>
      </c>
      <c r="C206" s="7"/>
      <c r="D206" s="6"/>
      <c r="E206" s="6"/>
      <c r="F206" s="6"/>
      <c r="G206" s="6"/>
      <c r="H206" s="6"/>
      <c r="I206" s="6"/>
      <c r="J206" s="6"/>
      <c r="K206" s="6"/>
      <c r="L206" s="6"/>
      <c r="M206" s="93"/>
    </row>
    <row r="207" spans="2:13" x14ac:dyDescent="0.55000000000000004">
      <c r="B207" s="13" t="s">
        <v>315</v>
      </c>
      <c r="C207" s="7"/>
      <c r="D207" s="6"/>
      <c r="E207" s="6"/>
      <c r="F207" s="6"/>
      <c r="G207" s="6"/>
      <c r="H207" s="6"/>
      <c r="I207" s="6"/>
      <c r="J207" s="6"/>
      <c r="K207" s="6"/>
      <c r="L207" s="6"/>
      <c r="M207" s="93"/>
    </row>
    <row r="208" spans="2:13" x14ac:dyDescent="0.55000000000000004">
      <c r="B208" s="13" t="s">
        <v>318</v>
      </c>
      <c r="C208" s="7"/>
      <c r="D208" s="6"/>
      <c r="E208" s="6"/>
      <c r="F208" s="6"/>
      <c r="G208" s="6"/>
      <c r="H208" s="6"/>
      <c r="I208" s="6"/>
      <c r="J208" s="6"/>
      <c r="K208" s="6"/>
      <c r="L208" s="6"/>
      <c r="M208" s="93"/>
    </row>
    <row r="209" spans="2:22" x14ac:dyDescent="0.55000000000000004">
      <c r="B209" s="13" t="s">
        <v>400</v>
      </c>
      <c r="C209" s="7"/>
      <c r="D209" s="6"/>
      <c r="E209" s="6"/>
      <c r="F209" s="6"/>
      <c r="G209" s="6"/>
      <c r="H209" s="6"/>
      <c r="I209" s="6"/>
      <c r="J209" s="6"/>
      <c r="K209" s="6"/>
      <c r="L209" s="6"/>
      <c r="M209" s="93"/>
    </row>
    <row r="210" spans="2:22" x14ac:dyDescent="0.55000000000000004">
      <c r="B210" s="13" t="s">
        <v>391</v>
      </c>
      <c r="C210" s="7"/>
      <c r="D210" s="6"/>
      <c r="E210" s="6"/>
      <c r="F210" s="6"/>
      <c r="G210" s="6"/>
      <c r="H210" s="6"/>
      <c r="I210" s="6"/>
      <c r="J210" s="6"/>
      <c r="K210" s="6"/>
      <c r="L210" s="6"/>
      <c r="M210" s="93"/>
    </row>
    <row r="211" spans="2:22" x14ac:dyDescent="0.55000000000000004">
      <c r="B211" s="13" t="s">
        <v>1179</v>
      </c>
      <c r="C211" s="7"/>
      <c r="D211" s="6"/>
      <c r="E211" s="6"/>
      <c r="F211" s="6"/>
      <c r="G211" s="6"/>
      <c r="H211" s="6"/>
      <c r="I211" s="6"/>
      <c r="J211" s="6"/>
      <c r="K211" s="6"/>
      <c r="L211" s="6"/>
      <c r="M211" s="93"/>
    </row>
    <row r="212" spans="2:22" x14ac:dyDescent="0.55000000000000004">
      <c r="B212" s="13" t="s">
        <v>403</v>
      </c>
      <c r="C212" s="7"/>
      <c r="D212" s="6"/>
      <c r="E212" s="6"/>
      <c r="F212" s="6"/>
      <c r="G212" s="6"/>
      <c r="H212" s="6"/>
      <c r="I212" s="6"/>
      <c r="J212" s="6"/>
      <c r="K212" s="6"/>
      <c r="L212" s="6"/>
      <c r="M212" s="93"/>
    </row>
    <row r="213" spans="2:22" x14ac:dyDescent="0.55000000000000004">
      <c r="B213" s="13" t="s">
        <v>392</v>
      </c>
      <c r="C213" s="7"/>
      <c r="D213" s="6"/>
      <c r="E213" s="6"/>
      <c r="F213" s="6"/>
      <c r="G213" s="6"/>
      <c r="H213" s="6"/>
      <c r="I213" s="6"/>
      <c r="J213" s="6"/>
      <c r="K213" s="6"/>
      <c r="L213" s="6"/>
      <c r="M213" s="93"/>
    </row>
    <row r="214" spans="2:22" x14ac:dyDescent="0.55000000000000004">
      <c r="B214" s="13" t="s">
        <v>393</v>
      </c>
      <c r="C214" s="7"/>
      <c r="D214" s="6"/>
      <c r="E214" s="6"/>
      <c r="F214" s="6"/>
      <c r="G214" s="6"/>
      <c r="H214" s="6"/>
      <c r="I214" s="6"/>
      <c r="J214" s="6"/>
      <c r="K214" s="6"/>
      <c r="L214" s="6"/>
      <c r="M214" s="93"/>
    </row>
    <row r="215" spans="2:22" x14ac:dyDescent="0.55000000000000004">
      <c r="B215" s="21"/>
      <c r="C215" s="6" t="s">
        <v>394</v>
      </c>
      <c r="D215" s="6"/>
      <c r="E215" s="6"/>
      <c r="F215" s="6"/>
      <c r="G215" s="6"/>
      <c r="H215" s="6"/>
      <c r="I215" s="6"/>
      <c r="J215" s="6"/>
      <c r="K215" s="6"/>
      <c r="L215" s="6"/>
      <c r="M215" s="96"/>
    </row>
    <row r="216" spans="2:22" x14ac:dyDescent="0.55000000000000004">
      <c r="B216" s="74" t="s">
        <v>33</v>
      </c>
      <c r="C216" s="6" t="s">
        <v>106</v>
      </c>
      <c r="D216" s="6" t="s">
        <v>98</v>
      </c>
      <c r="E216" s="6" t="s">
        <v>947</v>
      </c>
      <c r="F216" s="6" t="s">
        <v>99</v>
      </c>
      <c r="G216" s="6" t="s">
        <v>100</v>
      </c>
      <c r="H216" s="6" t="s">
        <v>101</v>
      </c>
      <c r="I216" s="6" t="s">
        <v>102</v>
      </c>
      <c r="J216" s="6" t="s">
        <v>103</v>
      </c>
      <c r="K216" s="6" t="s">
        <v>104</v>
      </c>
      <c r="L216" s="6" t="s">
        <v>105</v>
      </c>
      <c r="M216" s="6" t="s">
        <v>1794</v>
      </c>
      <c r="N216" s="6" t="s">
        <v>1795</v>
      </c>
      <c r="O216" s="6" t="s">
        <v>1796</v>
      </c>
      <c r="P216" s="6" t="s">
        <v>1797</v>
      </c>
      <c r="Q216" s="6" t="s">
        <v>1798</v>
      </c>
      <c r="R216" s="6" t="s">
        <v>1799</v>
      </c>
      <c r="S216" s="6" t="s">
        <v>1800</v>
      </c>
      <c r="T216" s="6" t="s">
        <v>1801</v>
      </c>
      <c r="U216" s="6" t="s">
        <v>1802</v>
      </c>
      <c r="V216" s="6" t="s">
        <v>1803</v>
      </c>
    </row>
    <row r="217" spans="2:22" x14ac:dyDescent="0.55000000000000004">
      <c r="B217" s="13" t="s">
        <v>236</v>
      </c>
      <c r="C217" s="7">
        <v>76</v>
      </c>
      <c r="D217" s="7">
        <v>76</v>
      </c>
      <c r="E217" s="7">
        <v>76</v>
      </c>
      <c r="F217" s="7">
        <v>76</v>
      </c>
      <c r="G217" s="7">
        <v>76</v>
      </c>
      <c r="H217" s="7">
        <v>76</v>
      </c>
      <c r="I217" s="7">
        <v>76</v>
      </c>
      <c r="J217" s="7">
        <v>76</v>
      </c>
      <c r="K217" s="7">
        <v>76</v>
      </c>
      <c r="L217" s="7">
        <v>76</v>
      </c>
      <c r="M217" s="7">
        <v>76</v>
      </c>
      <c r="N217" s="7">
        <v>76</v>
      </c>
      <c r="O217" s="7">
        <v>76</v>
      </c>
      <c r="P217" s="7">
        <v>76</v>
      </c>
      <c r="Q217" s="7">
        <v>76</v>
      </c>
      <c r="R217" s="7">
        <v>76</v>
      </c>
      <c r="S217" s="7">
        <v>76</v>
      </c>
      <c r="T217" s="7">
        <v>76</v>
      </c>
      <c r="U217" s="7">
        <v>76</v>
      </c>
      <c r="V217" s="7">
        <v>76</v>
      </c>
    </row>
    <row r="218" spans="2:22" x14ac:dyDescent="0.55000000000000004">
      <c r="B218" s="13" t="s">
        <v>235</v>
      </c>
      <c r="C218" s="7">
        <v>0</v>
      </c>
      <c r="D218" s="7">
        <v>0</v>
      </c>
      <c r="E218" s="7">
        <v>0</v>
      </c>
      <c r="F218" s="7">
        <v>0</v>
      </c>
      <c r="G218" s="7">
        <v>0</v>
      </c>
      <c r="H218" s="7">
        <v>0</v>
      </c>
      <c r="I218" s="7">
        <v>0</v>
      </c>
      <c r="J218" s="7">
        <v>0</v>
      </c>
      <c r="K218" s="7">
        <v>0</v>
      </c>
      <c r="L218" s="7">
        <v>0</v>
      </c>
      <c r="M218" s="7">
        <v>0</v>
      </c>
      <c r="N218" s="7">
        <v>0</v>
      </c>
      <c r="O218" s="7">
        <v>0</v>
      </c>
      <c r="P218" s="7">
        <v>0</v>
      </c>
      <c r="Q218" s="7">
        <v>0</v>
      </c>
      <c r="R218" s="7">
        <v>0</v>
      </c>
      <c r="S218" s="7">
        <v>0</v>
      </c>
      <c r="T218" s="7">
        <v>0</v>
      </c>
      <c r="U218" s="7">
        <v>0</v>
      </c>
      <c r="V218" s="7">
        <v>0</v>
      </c>
    </row>
    <row r="219" spans="2:22" x14ac:dyDescent="0.55000000000000004">
      <c r="B219" s="13" t="s">
        <v>395</v>
      </c>
      <c r="C219" s="7">
        <v>11.7</v>
      </c>
      <c r="D219" s="7">
        <v>7.3</v>
      </c>
      <c r="E219" s="7">
        <v>7.3</v>
      </c>
      <c r="F219" s="7">
        <v>7.3</v>
      </c>
      <c r="G219" s="7">
        <v>7.3</v>
      </c>
      <c r="H219" s="7">
        <v>7.3</v>
      </c>
      <c r="I219" s="7">
        <v>7.3</v>
      </c>
      <c r="J219" s="7">
        <v>7.3</v>
      </c>
      <c r="K219" s="7">
        <v>7.3</v>
      </c>
      <c r="L219" s="7">
        <v>7.3</v>
      </c>
      <c r="M219" s="7">
        <v>7.3</v>
      </c>
      <c r="N219" s="7">
        <v>7.3</v>
      </c>
      <c r="O219" s="7">
        <v>7.3</v>
      </c>
      <c r="P219" s="7">
        <v>7.3</v>
      </c>
      <c r="Q219" s="7">
        <v>7.3</v>
      </c>
      <c r="R219" s="7">
        <v>7.3</v>
      </c>
      <c r="S219" s="7">
        <v>7.3</v>
      </c>
      <c r="T219" s="7">
        <v>7.3</v>
      </c>
      <c r="U219" s="7">
        <v>7.3</v>
      </c>
      <c r="V219" s="7">
        <v>20</v>
      </c>
    </row>
    <row r="220" spans="2:22" x14ac:dyDescent="0.55000000000000004">
      <c r="B220" s="13" t="s">
        <v>416</v>
      </c>
      <c r="C220" s="7">
        <v>10</v>
      </c>
      <c r="D220" s="7">
        <v>10</v>
      </c>
      <c r="E220" s="7">
        <v>10</v>
      </c>
      <c r="F220" s="7">
        <v>10</v>
      </c>
      <c r="G220" s="7">
        <v>10</v>
      </c>
      <c r="H220" s="7">
        <v>10</v>
      </c>
      <c r="I220" s="7">
        <v>10</v>
      </c>
      <c r="J220" s="7">
        <v>10</v>
      </c>
      <c r="K220" s="7">
        <v>10</v>
      </c>
      <c r="L220" s="7">
        <v>10</v>
      </c>
      <c r="M220" s="7">
        <v>10</v>
      </c>
      <c r="N220" s="7">
        <v>10</v>
      </c>
      <c r="O220" s="7">
        <v>10</v>
      </c>
      <c r="P220" s="7">
        <v>10</v>
      </c>
      <c r="Q220" s="7">
        <v>10</v>
      </c>
      <c r="R220" s="7">
        <v>10</v>
      </c>
      <c r="S220" s="7">
        <v>10</v>
      </c>
      <c r="T220" s="7">
        <v>10</v>
      </c>
      <c r="U220" s="7">
        <v>10</v>
      </c>
      <c r="V220" s="7">
        <v>10</v>
      </c>
    </row>
    <row r="221" spans="2:22" x14ac:dyDescent="0.55000000000000004">
      <c r="B221" s="13" t="s">
        <v>418</v>
      </c>
      <c r="C221" s="7">
        <v>1.5</v>
      </c>
      <c r="D221" s="7">
        <v>1.5</v>
      </c>
      <c r="E221" s="7">
        <v>1.5</v>
      </c>
      <c r="F221" s="7">
        <v>1.5</v>
      </c>
      <c r="G221" s="7">
        <v>1.5</v>
      </c>
      <c r="H221" s="7">
        <v>1.5</v>
      </c>
      <c r="I221" s="7">
        <v>1.5</v>
      </c>
      <c r="J221" s="7">
        <v>1.5</v>
      </c>
      <c r="K221" s="7">
        <v>1.5</v>
      </c>
      <c r="L221" s="7">
        <v>1.5</v>
      </c>
      <c r="M221" s="7">
        <v>1.5</v>
      </c>
      <c r="N221" s="7">
        <v>1.5</v>
      </c>
      <c r="O221" s="7">
        <v>1.5</v>
      </c>
      <c r="P221" s="7">
        <v>1.5</v>
      </c>
      <c r="Q221" s="7">
        <v>1.5</v>
      </c>
      <c r="R221" s="7">
        <v>1.5</v>
      </c>
      <c r="S221" s="7">
        <v>1.5</v>
      </c>
      <c r="T221" s="7">
        <v>1.5</v>
      </c>
      <c r="U221" s="7">
        <v>1.5</v>
      </c>
      <c r="V221" s="7">
        <v>1.5</v>
      </c>
    </row>
    <row r="222" spans="2:22" x14ac:dyDescent="0.55000000000000004">
      <c r="B222" s="13" t="s">
        <v>396</v>
      </c>
      <c r="C222" s="7">
        <v>1</v>
      </c>
      <c r="D222" s="7">
        <v>1</v>
      </c>
      <c r="E222" s="7">
        <v>1</v>
      </c>
      <c r="F222" s="7">
        <v>1</v>
      </c>
      <c r="G222" s="7">
        <v>1</v>
      </c>
      <c r="H222" s="7">
        <v>1</v>
      </c>
      <c r="I222" s="7">
        <v>1</v>
      </c>
      <c r="J222" s="7">
        <v>1</v>
      </c>
      <c r="K222" s="7">
        <v>1</v>
      </c>
      <c r="L222" s="7">
        <v>1</v>
      </c>
      <c r="M222" s="7">
        <v>1</v>
      </c>
      <c r="N222" s="7">
        <v>1</v>
      </c>
      <c r="O222" s="7">
        <v>1</v>
      </c>
      <c r="P222" s="7">
        <v>1</v>
      </c>
      <c r="Q222" s="7">
        <v>1</v>
      </c>
      <c r="R222" s="7">
        <v>1</v>
      </c>
      <c r="S222" s="7">
        <v>1</v>
      </c>
      <c r="T222" s="7">
        <v>1</v>
      </c>
      <c r="U222" s="7">
        <v>1</v>
      </c>
      <c r="V222" s="7">
        <v>1</v>
      </c>
    </row>
    <row r="223" spans="2:22" x14ac:dyDescent="0.55000000000000004">
      <c r="B223" s="13" t="s">
        <v>417</v>
      </c>
      <c r="C223" s="7">
        <v>10</v>
      </c>
      <c r="D223" s="7">
        <v>10</v>
      </c>
      <c r="E223" s="7">
        <v>10</v>
      </c>
      <c r="F223" s="7">
        <v>10</v>
      </c>
      <c r="G223" s="7">
        <v>10</v>
      </c>
      <c r="H223" s="7">
        <v>10</v>
      </c>
      <c r="I223" s="7">
        <v>10</v>
      </c>
      <c r="J223" s="7">
        <v>10</v>
      </c>
      <c r="K223" s="7">
        <v>10</v>
      </c>
      <c r="L223" s="7">
        <v>10</v>
      </c>
      <c r="M223" s="7">
        <v>10</v>
      </c>
      <c r="N223" s="7">
        <v>10</v>
      </c>
      <c r="O223" s="7">
        <v>10</v>
      </c>
      <c r="P223" s="7">
        <v>10</v>
      </c>
      <c r="Q223" s="7">
        <v>10</v>
      </c>
      <c r="R223" s="7">
        <v>10</v>
      </c>
      <c r="S223" s="7">
        <v>10</v>
      </c>
      <c r="T223" s="7">
        <v>10</v>
      </c>
      <c r="U223" s="7">
        <v>10</v>
      </c>
      <c r="V223" s="7">
        <v>10</v>
      </c>
    </row>
    <row r="224" spans="2:22" x14ac:dyDescent="0.55000000000000004">
      <c r="B224" s="13" t="s">
        <v>419</v>
      </c>
      <c r="C224" s="7">
        <v>1.5</v>
      </c>
      <c r="D224" s="7">
        <v>1.5</v>
      </c>
      <c r="E224" s="7">
        <v>1.5</v>
      </c>
      <c r="F224" s="7">
        <v>1.5</v>
      </c>
      <c r="G224" s="7">
        <v>1.5</v>
      </c>
      <c r="H224" s="7">
        <v>1.5</v>
      </c>
      <c r="I224" s="7">
        <v>1.5</v>
      </c>
      <c r="J224" s="7">
        <v>1.5</v>
      </c>
      <c r="K224" s="7">
        <v>1.5</v>
      </c>
      <c r="L224" s="7">
        <v>1.5</v>
      </c>
      <c r="M224" s="7">
        <v>1.5</v>
      </c>
      <c r="N224" s="7">
        <v>1.5</v>
      </c>
      <c r="O224" s="7">
        <v>1.5</v>
      </c>
      <c r="P224" s="7">
        <v>1.5</v>
      </c>
      <c r="Q224" s="7">
        <v>1.5</v>
      </c>
      <c r="R224" s="7">
        <v>1.5</v>
      </c>
      <c r="S224" s="7">
        <v>1.5</v>
      </c>
      <c r="T224" s="7">
        <v>1.5</v>
      </c>
      <c r="U224" s="7">
        <v>1.5</v>
      </c>
      <c r="V224" s="7">
        <v>1.5</v>
      </c>
    </row>
    <row r="225" spans="2:22" x14ac:dyDescent="0.55000000000000004">
      <c r="B225" s="13" t="s">
        <v>397</v>
      </c>
      <c r="C225" s="7">
        <v>1</v>
      </c>
      <c r="D225" s="7">
        <v>1</v>
      </c>
      <c r="E225" s="7">
        <v>1</v>
      </c>
      <c r="F225" s="7">
        <v>1</v>
      </c>
      <c r="G225" s="7">
        <v>1</v>
      </c>
      <c r="H225" s="7">
        <v>1</v>
      </c>
      <c r="I225" s="7">
        <v>1</v>
      </c>
      <c r="J225" s="7">
        <v>1</v>
      </c>
      <c r="K225" s="7">
        <v>1</v>
      </c>
      <c r="L225" s="7">
        <v>1</v>
      </c>
      <c r="M225" s="7">
        <v>1</v>
      </c>
      <c r="N225" s="7">
        <v>1</v>
      </c>
      <c r="O225" s="7">
        <v>1</v>
      </c>
      <c r="P225" s="7">
        <v>1</v>
      </c>
      <c r="Q225" s="7">
        <v>1</v>
      </c>
      <c r="R225" s="7">
        <v>1</v>
      </c>
      <c r="S225" s="7">
        <v>1</v>
      </c>
      <c r="T225" s="7">
        <v>1</v>
      </c>
      <c r="U225" s="7">
        <v>1</v>
      </c>
      <c r="V225" s="7">
        <v>1</v>
      </c>
    </row>
    <row r="226" spans="2:22" x14ac:dyDescent="0.55000000000000004">
      <c r="B226" s="13" t="s">
        <v>398</v>
      </c>
      <c r="C226" s="7" t="s">
        <v>1793</v>
      </c>
      <c r="D226" s="7" t="s">
        <v>1793</v>
      </c>
      <c r="E226" s="7" t="s">
        <v>1793</v>
      </c>
      <c r="F226" s="7" t="s">
        <v>1793</v>
      </c>
      <c r="G226" s="7" t="s">
        <v>1793</v>
      </c>
      <c r="H226" s="7" t="s">
        <v>1793</v>
      </c>
      <c r="I226" s="7" t="s">
        <v>1793</v>
      </c>
      <c r="J226" s="7" t="s">
        <v>1793</v>
      </c>
      <c r="K226" s="7" t="s">
        <v>1793</v>
      </c>
      <c r="L226" s="7" t="s">
        <v>1793</v>
      </c>
      <c r="M226" s="7" t="s">
        <v>1793</v>
      </c>
      <c r="N226" s="7" t="s">
        <v>1793</v>
      </c>
      <c r="O226" s="7" t="s">
        <v>1793</v>
      </c>
      <c r="P226" s="7" t="s">
        <v>1793</v>
      </c>
      <c r="Q226" s="7" t="s">
        <v>1793</v>
      </c>
      <c r="R226" s="7" t="s">
        <v>1793</v>
      </c>
      <c r="S226" s="7" t="s">
        <v>1793</v>
      </c>
      <c r="T226" s="7" t="s">
        <v>1793</v>
      </c>
      <c r="U226" s="7" t="s">
        <v>1793</v>
      </c>
      <c r="V226" s="7" t="s">
        <v>1793</v>
      </c>
    </row>
    <row r="227" spans="2:22" x14ac:dyDescent="0.55000000000000004">
      <c r="B227" s="13" t="s">
        <v>412</v>
      </c>
      <c r="C227" s="7">
        <v>10</v>
      </c>
      <c r="D227" s="7">
        <v>10</v>
      </c>
      <c r="E227" s="7">
        <v>10</v>
      </c>
      <c r="F227" s="7">
        <v>10</v>
      </c>
      <c r="G227" s="7">
        <v>10</v>
      </c>
      <c r="H227" s="7">
        <v>10</v>
      </c>
      <c r="I227" s="7">
        <v>10</v>
      </c>
      <c r="J227" s="7">
        <v>10</v>
      </c>
      <c r="K227" s="7">
        <v>10</v>
      </c>
      <c r="L227" s="7">
        <v>10</v>
      </c>
      <c r="M227" s="7">
        <v>10</v>
      </c>
      <c r="N227" s="7">
        <v>10</v>
      </c>
      <c r="O227" s="7">
        <v>10</v>
      </c>
      <c r="P227" s="7">
        <v>10</v>
      </c>
      <c r="Q227" s="7">
        <v>10</v>
      </c>
      <c r="R227" s="7">
        <v>10</v>
      </c>
      <c r="S227" s="7">
        <v>10</v>
      </c>
      <c r="T227" s="7">
        <v>10</v>
      </c>
      <c r="U227" s="7">
        <v>10</v>
      </c>
      <c r="V227" s="7">
        <v>10</v>
      </c>
    </row>
    <row r="228" spans="2:22" x14ac:dyDescent="0.55000000000000004">
      <c r="B228" s="13" t="s">
        <v>413</v>
      </c>
      <c r="C228" s="7">
        <v>1.5</v>
      </c>
      <c r="D228" s="7">
        <v>1.5</v>
      </c>
      <c r="E228" s="7">
        <v>1.5</v>
      </c>
      <c r="F228" s="7">
        <v>1.5</v>
      </c>
      <c r="G228" s="7">
        <v>1.5</v>
      </c>
      <c r="H228" s="7">
        <v>1.5</v>
      </c>
      <c r="I228" s="7">
        <v>1.5</v>
      </c>
      <c r="J228" s="7">
        <v>1.5</v>
      </c>
      <c r="K228" s="7">
        <v>1.5</v>
      </c>
      <c r="L228" s="7">
        <v>1.5</v>
      </c>
      <c r="M228" s="7">
        <v>1.5</v>
      </c>
      <c r="N228" s="7">
        <v>1.5</v>
      </c>
      <c r="O228" s="7">
        <v>1.5</v>
      </c>
      <c r="P228" s="7">
        <v>1.5</v>
      </c>
      <c r="Q228" s="7">
        <v>1.5</v>
      </c>
      <c r="R228" s="7">
        <v>1.5</v>
      </c>
      <c r="S228" s="7">
        <v>1.5</v>
      </c>
      <c r="T228" s="7">
        <v>1.5</v>
      </c>
      <c r="U228" s="7">
        <v>1.5</v>
      </c>
      <c r="V228" s="7">
        <v>1.5</v>
      </c>
    </row>
    <row r="229" spans="2:22" x14ac:dyDescent="0.55000000000000004">
      <c r="B229" s="13" t="s">
        <v>414</v>
      </c>
      <c r="C229" s="7">
        <v>10</v>
      </c>
      <c r="D229" s="7">
        <v>10</v>
      </c>
      <c r="E229" s="7">
        <v>10</v>
      </c>
      <c r="F229" s="7">
        <v>10</v>
      </c>
      <c r="G229" s="7">
        <v>10</v>
      </c>
      <c r="H229" s="7">
        <v>10</v>
      </c>
      <c r="I229" s="7">
        <v>10</v>
      </c>
      <c r="J229" s="7">
        <v>10</v>
      </c>
      <c r="K229" s="7">
        <v>10</v>
      </c>
      <c r="L229" s="7">
        <v>10</v>
      </c>
      <c r="M229" s="7">
        <v>10</v>
      </c>
      <c r="N229" s="7">
        <v>10</v>
      </c>
      <c r="O229" s="7">
        <v>10</v>
      </c>
      <c r="P229" s="7">
        <v>10</v>
      </c>
      <c r="Q229" s="7">
        <v>10</v>
      </c>
      <c r="R229" s="7">
        <v>10</v>
      </c>
      <c r="S229" s="7">
        <v>10</v>
      </c>
      <c r="T229" s="7">
        <v>10</v>
      </c>
      <c r="U229" s="7">
        <v>10</v>
      </c>
      <c r="V229" s="7">
        <v>10</v>
      </c>
    </row>
    <row r="230" spans="2:22" x14ac:dyDescent="0.55000000000000004">
      <c r="B230" s="13" t="s">
        <v>415</v>
      </c>
      <c r="C230" s="7">
        <v>1.5</v>
      </c>
      <c r="D230" s="7">
        <v>1.5</v>
      </c>
      <c r="E230" s="7">
        <v>1.5</v>
      </c>
      <c r="F230" s="7">
        <v>1.5</v>
      </c>
      <c r="G230" s="7">
        <v>1.5</v>
      </c>
      <c r="H230" s="7">
        <v>1.5</v>
      </c>
      <c r="I230" s="7">
        <v>1.5</v>
      </c>
      <c r="J230" s="7">
        <v>1.5</v>
      </c>
      <c r="K230" s="7">
        <v>1.5</v>
      </c>
      <c r="L230" s="7">
        <v>1.5</v>
      </c>
      <c r="M230" s="7">
        <v>1.5</v>
      </c>
      <c r="N230" s="7">
        <v>1.5</v>
      </c>
      <c r="O230" s="7">
        <v>1.5</v>
      </c>
      <c r="P230" s="7">
        <v>1.5</v>
      </c>
      <c r="Q230" s="7">
        <v>1.5</v>
      </c>
      <c r="R230" s="7">
        <v>1.5</v>
      </c>
      <c r="S230" s="7">
        <v>1.5</v>
      </c>
      <c r="T230" s="7">
        <v>1.5</v>
      </c>
      <c r="U230" s="7">
        <v>1.5</v>
      </c>
      <c r="V230" s="7">
        <v>1.5</v>
      </c>
    </row>
    <row r="231" spans="2:22" x14ac:dyDescent="0.55000000000000004">
      <c r="B231" s="13" t="s">
        <v>402</v>
      </c>
      <c r="C231" s="7" t="s">
        <v>1436</v>
      </c>
      <c r="D231" s="7" t="s">
        <v>1436</v>
      </c>
      <c r="E231" s="7" t="s">
        <v>1436</v>
      </c>
      <c r="F231" s="7" t="s">
        <v>1436</v>
      </c>
      <c r="G231" s="7" t="s">
        <v>1436</v>
      </c>
      <c r="H231" s="7" t="s">
        <v>1436</v>
      </c>
      <c r="I231" s="7" t="s">
        <v>1436</v>
      </c>
      <c r="J231" s="7" t="s">
        <v>1436</v>
      </c>
      <c r="K231" s="7" t="s">
        <v>1436</v>
      </c>
      <c r="L231" s="7" t="s">
        <v>1436</v>
      </c>
      <c r="M231" s="7" t="s">
        <v>1436</v>
      </c>
      <c r="N231" s="7" t="s">
        <v>1436</v>
      </c>
      <c r="O231" s="7" t="s">
        <v>1436</v>
      </c>
      <c r="P231" s="7" t="s">
        <v>1436</v>
      </c>
      <c r="Q231" s="7" t="s">
        <v>1436</v>
      </c>
      <c r="R231" s="7" t="s">
        <v>1436</v>
      </c>
      <c r="S231" s="7" t="s">
        <v>1436</v>
      </c>
      <c r="T231" s="7" t="s">
        <v>1436</v>
      </c>
      <c r="U231" s="7" t="s">
        <v>1436</v>
      </c>
      <c r="V231" s="7" t="s">
        <v>1436</v>
      </c>
    </row>
    <row r="232" spans="2:22" x14ac:dyDescent="0.55000000000000004">
      <c r="B232" s="13" t="s">
        <v>1180</v>
      </c>
      <c r="C232" s="7" t="s">
        <v>940</v>
      </c>
      <c r="D232" s="7" t="s">
        <v>940</v>
      </c>
      <c r="E232" s="7" t="s">
        <v>940</v>
      </c>
      <c r="F232" s="7" t="s">
        <v>940</v>
      </c>
      <c r="G232" s="7" t="s">
        <v>940</v>
      </c>
      <c r="H232" s="7" t="s">
        <v>940</v>
      </c>
      <c r="I232" s="7" t="s">
        <v>940</v>
      </c>
      <c r="J232" s="7" t="s">
        <v>940</v>
      </c>
      <c r="K232" s="7" t="s">
        <v>940</v>
      </c>
      <c r="L232" s="7" t="s">
        <v>940</v>
      </c>
      <c r="M232" s="7" t="s">
        <v>940</v>
      </c>
      <c r="N232" s="7" t="s">
        <v>940</v>
      </c>
      <c r="O232" s="7" t="s">
        <v>940</v>
      </c>
      <c r="P232" s="7" t="s">
        <v>940</v>
      </c>
      <c r="Q232" s="7" t="s">
        <v>940</v>
      </c>
      <c r="R232" s="7" t="s">
        <v>940</v>
      </c>
      <c r="S232" s="7" t="s">
        <v>940</v>
      </c>
      <c r="T232" s="7" t="s">
        <v>940</v>
      </c>
      <c r="U232" s="7" t="s">
        <v>940</v>
      </c>
      <c r="V232" s="7" t="s">
        <v>940</v>
      </c>
    </row>
    <row r="233" spans="2:22" x14ac:dyDescent="0.55000000000000004">
      <c r="B233" s="13" t="s">
        <v>411</v>
      </c>
      <c r="C233" s="7" t="s">
        <v>1437</v>
      </c>
      <c r="D233" s="7" t="s">
        <v>1437</v>
      </c>
      <c r="E233" s="7" t="s">
        <v>1437</v>
      </c>
      <c r="F233" s="7" t="s">
        <v>1437</v>
      </c>
      <c r="G233" s="7" t="s">
        <v>1437</v>
      </c>
      <c r="H233" s="7" t="s">
        <v>1437</v>
      </c>
      <c r="I233" s="7" t="s">
        <v>1437</v>
      </c>
      <c r="J233" s="7" t="s">
        <v>1437</v>
      </c>
      <c r="K233" s="7" t="s">
        <v>1437</v>
      </c>
      <c r="L233" s="7" t="s">
        <v>1437</v>
      </c>
      <c r="M233" s="7" t="s">
        <v>1437</v>
      </c>
      <c r="N233" s="7" t="s">
        <v>1437</v>
      </c>
      <c r="O233" s="7" t="s">
        <v>1437</v>
      </c>
      <c r="P233" s="7" t="s">
        <v>1437</v>
      </c>
      <c r="Q233" s="7" t="s">
        <v>1437</v>
      </c>
      <c r="R233" s="7" t="s">
        <v>1437</v>
      </c>
      <c r="S233" s="7" t="s">
        <v>1437</v>
      </c>
      <c r="T233" s="7" t="s">
        <v>1437</v>
      </c>
      <c r="U233" s="7" t="s">
        <v>1437</v>
      </c>
      <c r="V233" s="7" t="s">
        <v>1437</v>
      </c>
    </row>
    <row r="234" spans="2:22" x14ac:dyDescent="0.55000000000000004">
      <c r="B234" s="13" t="s">
        <v>408</v>
      </c>
      <c r="C234" s="7" t="s">
        <v>394</v>
      </c>
      <c r="D234" s="7" t="s">
        <v>394</v>
      </c>
      <c r="E234" s="7" t="s">
        <v>394</v>
      </c>
      <c r="F234" s="7" t="s">
        <v>394</v>
      </c>
      <c r="G234" s="7" t="s">
        <v>394</v>
      </c>
      <c r="H234" s="7" t="s">
        <v>394</v>
      </c>
      <c r="I234" s="7" t="s">
        <v>394</v>
      </c>
      <c r="J234" s="7" t="s">
        <v>394</v>
      </c>
      <c r="K234" s="7" t="s">
        <v>394</v>
      </c>
      <c r="L234" s="7" t="s">
        <v>394</v>
      </c>
      <c r="M234" s="7" t="s">
        <v>394</v>
      </c>
      <c r="N234" s="7" t="s">
        <v>394</v>
      </c>
      <c r="O234" s="7" t="s">
        <v>394</v>
      </c>
      <c r="P234" s="7" t="s">
        <v>394</v>
      </c>
      <c r="Q234" s="7" t="s">
        <v>394</v>
      </c>
      <c r="R234" s="7" t="s">
        <v>394</v>
      </c>
      <c r="S234" s="7" t="s">
        <v>394</v>
      </c>
      <c r="T234" s="7" t="s">
        <v>394</v>
      </c>
      <c r="U234" s="7" t="s">
        <v>394</v>
      </c>
      <c r="V234" s="7" t="s">
        <v>394</v>
      </c>
    </row>
    <row r="235" spans="2:22" x14ac:dyDescent="0.55000000000000004">
      <c r="B235" s="13" t="s">
        <v>410</v>
      </c>
      <c r="C235" s="7" t="s">
        <v>394</v>
      </c>
      <c r="D235" s="7" t="s">
        <v>394</v>
      </c>
      <c r="E235" s="7" t="s">
        <v>394</v>
      </c>
      <c r="F235" s="7" t="s">
        <v>394</v>
      </c>
      <c r="G235" s="7" t="s">
        <v>394</v>
      </c>
      <c r="H235" s="7" t="s">
        <v>394</v>
      </c>
      <c r="I235" s="7" t="s">
        <v>394</v>
      </c>
      <c r="J235" s="7" t="s">
        <v>394</v>
      </c>
      <c r="K235" s="7" t="s">
        <v>394</v>
      </c>
      <c r="L235" s="7" t="s">
        <v>394</v>
      </c>
      <c r="M235" s="7" t="s">
        <v>394</v>
      </c>
      <c r="N235" s="7" t="s">
        <v>394</v>
      </c>
      <c r="O235" s="7" t="s">
        <v>394</v>
      </c>
      <c r="P235" s="7" t="s">
        <v>394</v>
      </c>
      <c r="Q235" s="7" t="s">
        <v>394</v>
      </c>
      <c r="R235" s="7" t="s">
        <v>394</v>
      </c>
      <c r="S235" s="7" t="s">
        <v>394</v>
      </c>
      <c r="T235" s="7" t="s">
        <v>394</v>
      </c>
      <c r="U235" s="7" t="s">
        <v>394</v>
      </c>
      <c r="V235" s="7" t="s">
        <v>394</v>
      </c>
    </row>
    <row r="236" spans="2:22" x14ac:dyDescent="0.55000000000000004">
      <c r="B236" s="13" t="s">
        <v>409</v>
      </c>
      <c r="C236" s="7">
        <v>2</v>
      </c>
      <c r="D236" s="7">
        <v>2</v>
      </c>
      <c r="E236" s="7">
        <v>2</v>
      </c>
      <c r="F236" s="7">
        <v>2</v>
      </c>
      <c r="G236" s="7">
        <v>2</v>
      </c>
      <c r="H236" s="7">
        <v>2</v>
      </c>
      <c r="I236" s="7">
        <v>2</v>
      </c>
      <c r="J236" s="7">
        <v>2</v>
      </c>
      <c r="K236" s="7">
        <v>2</v>
      </c>
      <c r="L236" s="7">
        <v>2</v>
      </c>
      <c r="M236" s="7">
        <v>2</v>
      </c>
      <c r="N236" s="7">
        <v>2</v>
      </c>
      <c r="O236" s="7">
        <v>2</v>
      </c>
      <c r="P236" s="7">
        <v>2</v>
      </c>
      <c r="Q236" s="7">
        <v>2</v>
      </c>
      <c r="R236" s="7">
        <v>2</v>
      </c>
      <c r="S236" s="7">
        <v>2</v>
      </c>
      <c r="T236" s="7">
        <v>2</v>
      </c>
      <c r="U236" s="7">
        <v>2</v>
      </c>
      <c r="V236" s="7">
        <v>2</v>
      </c>
    </row>
    <row r="237" spans="2:22" x14ac:dyDescent="0.55000000000000004">
      <c r="B237" s="13" t="s">
        <v>301</v>
      </c>
      <c r="C237" s="7">
        <v>55</v>
      </c>
      <c r="D237" s="7">
        <v>55</v>
      </c>
      <c r="E237" s="7">
        <v>55</v>
      </c>
      <c r="F237" s="7">
        <v>55</v>
      </c>
      <c r="G237" s="7">
        <v>55</v>
      </c>
      <c r="H237" s="7">
        <v>55</v>
      </c>
      <c r="I237" s="7">
        <v>55</v>
      </c>
      <c r="J237" s="7">
        <v>55</v>
      </c>
      <c r="K237" s="7">
        <v>55</v>
      </c>
      <c r="L237" s="7">
        <v>55</v>
      </c>
      <c r="M237" s="7">
        <v>55</v>
      </c>
      <c r="N237" s="7">
        <v>55</v>
      </c>
      <c r="O237" s="7">
        <v>55</v>
      </c>
      <c r="P237" s="7">
        <v>55</v>
      </c>
      <c r="Q237" s="7">
        <v>55</v>
      </c>
      <c r="R237" s="7">
        <v>55</v>
      </c>
      <c r="S237" s="7">
        <v>55</v>
      </c>
      <c r="T237" s="7">
        <v>55</v>
      </c>
      <c r="U237" s="7">
        <v>55</v>
      </c>
      <c r="V237" s="7">
        <v>55</v>
      </c>
    </row>
    <row r="238" spans="2:22" x14ac:dyDescent="0.55000000000000004">
      <c r="B238" s="13" t="s">
        <v>420</v>
      </c>
      <c r="C238" s="7" t="s">
        <v>1437</v>
      </c>
      <c r="D238" s="7" t="s">
        <v>1437</v>
      </c>
      <c r="E238" s="7" t="s">
        <v>1437</v>
      </c>
      <c r="F238" s="7" t="s">
        <v>1437</v>
      </c>
      <c r="G238" s="7" t="s">
        <v>1437</v>
      </c>
      <c r="H238" s="7" t="s">
        <v>1437</v>
      </c>
      <c r="I238" s="7" t="s">
        <v>1437</v>
      </c>
      <c r="J238" s="7" t="s">
        <v>1437</v>
      </c>
      <c r="K238" s="7" t="s">
        <v>1437</v>
      </c>
      <c r="L238" s="7" t="s">
        <v>1437</v>
      </c>
      <c r="M238" s="7" t="s">
        <v>1437</v>
      </c>
      <c r="N238" s="7" t="s">
        <v>1437</v>
      </c>
      <c r="O238" s="7" t="s">
        <v>1437</v>
      </c>
      <c r="P238" s="7" t="s">
        <v>1437</v>
      </c>
      <c r="Q238" s="7" t="s">
        <v>1437</v>
      </c>
      <c r="R238" s="7" t="s">
        <v>1437</v>
      </c>
      <c r="S238" s="7" t="s">
        <v>1437</v>
      </c>
      <c r="T238" s="7" t="s">
        <v>1437</v>
      </c>
      <c r="U238" s="7" t="s">
        <v>1437</v>
      </c>
      <c r="V238" s="7" t="s">
        <v>1437</v>
      </c>
    </row>
    <row r="239" spans="2:22" x14ac:dyDescent="0.55000000000000004">
      <c r="B239" s="13" t="s">
        <v>421</v>
      </c>
      <c r="C239" s="7" t="s">
        <v>394</v>
      </c>
      <c r="D239" s="7" t="s">
        <v>394</v>
      </c>
      <c r="E239" s="7" t="s">
        <v>394</v>
      </c>
      <c r="F239" s="7" t="s">
        <v>394</v>
      </c>
      <c r="G239" s="7" t="s">
        <v>394</v>
      </c>
      <c r="H239" s="7" t="s">
        <v>394</v>
      </c>
      <c r="I239" s="7" t="s">
        <v>394</v>
      </c>
      <c r="J239" s="7" t="s">
        <v>394</v>
      </c>
      <c r="K239" s="7" t="s">
        <v>394</v>
      </c>
      <c r="L239" s="7" t="s">
        <v>394</v>
      </c>
      <c r="M239" s="7" t="s">
        <v>394</v>
      </c>
      <c r="N239" s="7" t="s">
        <v>394</v>
      </c>
      <c r="O239" s="7" t="s">
        <v>394</v>
      </c>
      <c r="P239" s="7" t="s">
        <v>394</v>
      </c>
      <c r="Q239" s="7" t="s">
        <v>394</v>
      </c>
      <c r="R239" s="7" t="s">
        <v>394</v>
      </c>
      <c r="S239" s="7" t="s">
        <v>394</v>
      </c>
      <c r="T239" s="7" t="s">
        <v>394</v>
      </c>
      <c r="U239" s="7" t="s">
        <v>394</v>
      </c>
      <c r="V239" s="7" t="s">
        <v>394</v>
      </c>
    </row>
    <row r="240" spans="2:22" x14ac:dyDescent="0.55000000000000004">
      <c r="B240" s="13" t="s">
        <v>422</v>
      </c>
      <c r="C240" s="7" t="s">
        <v>394</v>
      </c>
      <c r="D240" s="7" t="s">
        <v>394</v>
      </c>
      <c r="E240" s="7" t="s">
        <v>394</v>
      </c>
      <c r="F240" s="7" t="s">
        <v>394</v>
      </c>
      <c r="G240" s="7" t="s">
        <v>394</v>
      </c>
      <c r="H240" s="7" t="s">
        <v>394</v>
      </c>
      <c r="I240" s="7" t="s">
        <v>394</v>
      </c>
      <c r="J240" s="7" t="s">
        <v>394</v>
      </c>
      <c r="K240" s="7" t="s">
        <v>394</v>
      </c>
      <c r="L240" s="7" t="s">
        <v>394</v>
      </c>
      <c r="M240" s="7" t="s">
        <v>394</v>
      </c>
      <c r="N240" s="7" t="s">
        <v>394</v>
      </c>
      <c r="O240" s="7" t="s">
        <v>394</v>
      </c>
      <c r="P240" s="7" t="s">
        <v>394</v>
      </c>
      <c r="Q240" s="7" t="s">
        <v>394</v>
      </c>
      <c r="R240" s="7" t="s">
        <v>394</v>
      </c>
      <c r="S240" s="7" t="s">
        <v>394</v>
      </c>
      <c r="T240" s="7" t="s">
        <v>394</v>
      </c>
      <c r="U240" s="7" t="s">
        <v>394</v>
      </c>
      <c r="V240" s="7" t="s">
        <v>394</v>
      </c>
    </row>
    <row r="241" spans="2:22" x14ac:dyDescent="0.55000000000000004">
      <c r="B241" s="13" t="s">
        <v>423</v>
      </c>
      <c r="C241" s="7">
        <v>2</v>
      </c>
      <c r="D241" s="7">
        <v>2</v>
      </c>
      <c r="E241" s="7">
        <v>2</v>
      </c>
      <c r="F241" s="7">
        <v>2</v>
      </c>
      <c r="G241" s="7">
        <v>2</v>
      </c>
      <c r="H241" s="7">
        <v>2</v>
      </c>
      <c r="I241" s="7">
        <v>2</v>
      </c>
      <c r="J241" s="7">
        <v>2</v>
      </c>
      <c r="K241" s="7">
        <v>2</v>
      </c>
      <c r="L241" s="7">
        <v>2</v>
      </c>
      <c r="M241" s="7">
        <v>2</v>
      </c>
      <c r="N241" s="7">
        <v>2</v>
      </c>
      <c r="O241" s="7">
        <v>2</v>
      </c>
      <c r="P241" s="7">
        <v>2</v>
      </c>
      <c r="Q241" s="7">
        <v>2</v>
      </c>
      <c r="R241" s="7">
        <v>2</v>
      </c>
      <c r="S241" s="7">
        <v>2</v>
      </c>
      <c r="T241" s="7">
        <v>2</v>
      </c>
      <c r="U241" s="7">
        <v>2</v>
      </c>
      <c r="V241" s="7">
        <v>2</v>
      </c>
    </row>
    <row r="242" spans="2:22" x14ac:dyDescent="0.55000000000000004">
      <c r="B242" s="13" t="s">
        <v>302</v>
      </c>
      <c r="C242" s="7">
        <v>55</v>
      </c>
      <c r="D242" s="7">
        <v>55</v>
      </c>
      <c r="E242" s="7">
        <v>55</v>
      </c>
      <c r="F242" s="7">
        <v>55</v>
      </c>
      <c r="G242" s="7">
        <v>55</v>
      </c>
      <c r="H242" s="7">
        <v>55</v>
      </c>
      <c r="I242" s="7">
        <v>55</v>
      </c>
      <c r="J242" s="7">
        <v>55</v>
      </c>
      <c r="K242" s="7">
        <v>55</v>
      </c>
      <c r="L242" s="7">
        <v>55</v>
      </c>
      <c r="M242" s="7">
        <v>55</v>
      </c>
      <c r="N242" s="7">
        <v>55</v>
      </c>
      <c r="O242" s="7">
        <v>55</v>
      </c>
      <c r="P242" s="7">
        <v>55</v>
      </c>
      <c r="Q242" s="7">
        <v>55</v>
      </c>
      <c r="R242" s="7">
        <v>55</v>
      </c>
      <c r="S242" s="7">
        <v>55</v>
      </c>
      <c r="T242" s="7">
        <v>55</v>
      </c>
      <c r="U242" s="7">
        <v>55</v>
      </c>
      <c r="V242" s="7">
        <v>55</v>
      </c>
    </row>
    <row r="243" spans="2:22" x14ac:dyDescent="0.55000000000000004">
      <c r="B243" s="13" t="s">
        <v>404</v>
      </c>
      <c r="C243" s="7" t="s">
        <v>17</v>
      </c>
      <c r="D243" s="7" t="s">
        <v>940</v>
      </c>
      <c r="E243" s="7" t="s">
        <v>940</v>
      </c>
      <c r="F243" s="7" t="s">
        <v>940</v>
      </c>
      <c r="G243" s="7" t="s">
        <v>940</v>
      </c>
      <c r="H243" s="7" t="s">
        <v>940</v>
      </c>
      <c r="I243" s="7" t="s">
        <v>940</v>
      </c>
      <c r="J243" s="7" t="s">
        <v>940</v>
      </c>
      <c r="K243" s="7" t="s">
        <v>940</v>
      </c>
      <c r="L243" s="7" t="s">
        <v>940</v>
      </c>
      <c r="M243" s="7" t="s">
        <v>940</v>
      </c>
      <c r="N243" s="7" t="s">
        <v>940</v>
      </c>
      <c r="O243" s="7" t="s">
        <v>940</v>
      </c>
      <c r="P243" s="7" t="s">
        <v>940</v>
      </c>
      <c r="Q243" s="7" t="s">
        <v>940</v>
      </c>
      <c r="R243" s="7" t="s">
        <v>940</v>
      </c>
      <c r="S243" s="7" t="s">
        <v>940</v>
      </c>
      <c r="T243" s="7" t="s">
        <v>940</v>
      </c>
      <c r="U243" s="7" t="s">
        <v>940</v>
      </c>
      <c r="V243" s="7" t="s">
        <v>17</v>
      </c>
    </row>
    <row r="244" spans="2:22" x14ac:dyDescent="0.55000000000000004">
      <c r="B244" s="13" t="s">
        <v>1181</v>
      </c>
      <c r="C244" s="7">
        <v>2</v>
      </c>
      <c r="D244" s="7">
        <v>2</v>
      </c>
      <c r="E244" s="7">
        <v>2</v>
      </c>
      <c r="F244" s="7">
        <v>2</v>
      </c>
      <c r="G244" s="7">
        <v>2</v>
      </c>
      <c r="H244" s="7">
        <v>2</v>
      </c>
      <c r="I244" s="7">
        <v>2</v>
      </c>
      <c r="J244" s="7">
        <v>2</v>
      </c>
      <c r="K244" s="7">
        <v>2</v>
      </c>
      <c r="L244" s="7">
        <v>2</v>
      </c>
      <c r="M244" s="7">
        <v>2</v>
      </c>
      <c r="N244" s="7">
        <v>2</v>
      </c>
      <c r="O244" s="7">
        <v>2</v>
      </c>
      <c r="P244" s="7">
        <v>2</v>
      </c>
      <c r="Q244" s="7">
        <v>2</v>
      </c>
      <c r="R244" s="7">
        <v>2</v>
      </c>
      <c r="S244" s="7">
        <v>2</v>
      </c>
      <c r="T244" s="7">
        <v>2</v>
      </c>
      <c r="U244" s="7">
        <v>2</v>
      </c>
      <c r="V244" s="7">
        <v>2</v>
      </c>
    </row>
    <row r="245" spans="2:22" x14ac:dyDescent="0.55000000000000004">
      <c r="B245" s="13" t="s">
        <v>405</v>
      </c>
      <c r="C245" s="7">
        <v>135</v>
      </c>
      <c r="D245" s="7">
        <v>135</v>
      </c>
      <c r="E245" s="7">
        <v>135</v>
      </c>
      <c r="F245" s="7">
        <v>135</v>
      </c>
      <c r="G245" s="7">
        <v>135</v>
      </c>
      <c r="H245" s="7">
        <v>135</v>
      </c>
      <c r="I245" s="7">
        <v>135</v>
      </c>
      <c r="J245" s="7">
        <v>135</v>
      </c>
      <c r="K245" s="7">
        <v>135</v>
      </c>
      <c r="L245" s="7">
        <v>135</v>
      </c>
      <c r="M245" s="7">
        <v>135</v>
      </c>
      <c r="N245" s="7">
        <v>135</v>
      </c>
      <c r="O245" s="7">
        <v>135</v>
      </c>
      <c r="P245" s="7">
        <v>135</v>
      </c>
      <c r="Q245" s="7">
        <v>135</v>
      </c>
      <c r="R245" s="7">
        <v>135</v>
      </c>
      <c r="S245" s="7">
        <v>135</v>
      </c>
      <c r="T245" s="7">
        <v>135</v>
      </c>
      <c r="U245" s="7">
        <v>135</v>
      </c>
      <c r="V245" s="7">
        <v>135</v>
      </c>
    </row>
    <row r="246" spans="2:22" x14ac:dyDescent="0.55000000000000004">
      <c r="B246" s="13" t="s">
        <v>406</v>
      </c>
      <c r="C246" s="7">
        <v>-35</v>
      </c>
      <c r="D246" s="7">
        <v>-35</v>
      </c>
      <c r="E246" s="7">
        <v>-35</v>
      </c>
      <c r="F246" s="7">
        <v>-35</v>
      </c>
      <c r="G246" s="7">
        <v>-35</v>
      </c>
      <c r="H246" s="7">
        <v>-35</v>
      </c>
      <c r="I246" s="7">
        <v>-35</v>
      </c>
      <c r="J246" s="7">
        <v>-35</v>
      </c>
      <c r="K246" s="7">
        <v>-35</v>
      </c>
      <c r="L246" s="7">
        <v>-35</v>
      </c>
      <c r="M246" s="7">
        <v>-35</v>
      </c>
      <c r="N246" s="7">
        <v>-35</v>
      </c>
      <c r="O246" s="7">
        <v>-35</v>
      </c>
      <c r="P246" s="7">
        <v>-35</v>
      </c>
      <c r="Q246" s="7">
        <v>-35</v>
      </c>
      <c r="R246" s="7">
        <v>-35</v>
      </c>
      <c r="S246" s="7">
        <v>-35</v>
      </c>
      <c r="T246" s="7">
        <v>-35</v>
      </c>
      <c r="U246" s="7">
        <v>-35</v>
      </c>
      <c r="V246" s="7">
        <v>-35</v>
      </c>
    </row>
    <row r="247" spans="2:22" x14ac:dyDescent="0.55000000000000004">
      <c r="B247" s="13" t="s">
        <v>407</v>
      </c>
      <c r="C247" s="7">
        <v>-0.1</v>
      </c>
      <c r="D247" s="7">
        <v>-0.1</v>
      </c>
      <c r="E247" s="7">
        <v>-0.1</v>
      </c>
      <c r="F247" s="7">
        <v>-0.1</v>
      </c>
      <c r="G247" s="7">
        <v>-0.1</v>
      </c>
      <c r="H247" s="7">
        <v>-0.1</v>
      </c>
      <c r="I247" s="7">
        <v>-0.1</v>
      </c>
      <c r="J247" s="7">
        <v>-0.1</v>
      </c>
      <c r="K247" s="7">
        <v>-0.1</v>
      </c>
      <c r="L247" s="7">
        <v>-0.1</v>
      </c>
      <c r="M247" s="7">
        <v>-0.1</v>
      </c>
      <c r="N247" s="7">
        <v>-0.1</v>
      </c>
      <c r="O247" s="7">
        <v>-0.1</v>
      </c>
      <c r="P247" s="7">
        <v>-0.1</v>
      </c>
      <c r="Q247" s="7">
        <v>-0.1</v>
      </c>
      <c r="R247" s="7">
        <v>-0.1</v>
      </c>
      <c r="S247" s="7">
        <v>-0.1</v>
      </c>
      <c r="T247" s="7">
        <v>-0.1</v>
      </c>
      <c r="U247" s="7">
        <v>-0.1</v>
      </c>
      <c r="V247" s="7">
        <v>-0.1</v>
      </c>
    </row>
    <row r="248" spans="2:22" x14ac:dyDescent="0.55000000000000004">
      <c r="B248" s="21"/>
      <c r="C248" s="6" t="s">
        <v>394</v>
      </c>
      <c r="D248" s="6"/>
      <c r="E248" s="6"/>
      <c r="F248" s="6"/>
      <c r="G248" s="6"/>
      <c r="H248" s="6"/>
      <c r="I248" s="6"/>
      <c r="J248" s="6"/>
      <c r="K248" s="6"/>
      <c r="L248" s="6"/>
      <c r="M248" s="95"/>
    </row>
    <row r="249" spans="2:22" x14ac:dyDescent="0.55000000000000004">
      <c r="B249" s="74" t="s">
        <v>181</v>
      </c>
      <c r="C249" s="25" t="s">
        <v>180</v>
      </c>
      <c r="D249" s="6"/>
      <c r="E249" s="6"/>
      <c r="F249" s="6"/>
      <c r="G249" s="6"/>
      <c r="H249" s="6"/>
      <c r="I249" s="6"/>
      <c r="J249" s="6"/>
      <c r="K249" s="6"/>
      <c r="L249" s="6"/>
      <c r="M249" s="93"/>
    </row>
    <row r="250" spans="2:22" x14ac:dyDescent="0.55000000000000004">
      <c r="B250" s="13" t="s">
        <v>431</v>
      </c>
      <c r="C250" s="7"/>
      <c r="D250" s="6"/>
      <c r="E250" s="6"/>
      <c r="F250" s="6"/>
      <c r="G250" s="6"/>
      <c r="H250" s="6"/>
      <c r="I250" s="6"/>
      <c r="J250" s="6"/>
      <c r="K250" s="6"/>
      <c r="L250" s="6"/>
      <c r="M250" s="93"/>
    </row>
    <row r="251" spans="2:22" x14ac:dyDescent="0.55000000000000004">
      <c r="B251" s="13" t="s">
        <v>432</v>
      </c>
      <c r="C251" s="7"/>
      <c r="D251" s="6"/>
      <c r="E251" s="6"/>
      <c r="F251" s="6"/>
      <c r="G251" s="6"/>
      <c r="H251" s="6"/>
      <c r="I251" s="6"/>
      <c r="J251" s="6"/>
      <c r="K251" s="6"/>
      <c r="L251" s="6"/>
      <c r="M251" s="93"/>
    </row>
    <row r="252" spans="2:22" x14ac:dyDescent="0.55000000000000004">
      <c r="B252" s="13" t="s">
        <v>433</v>
      </c>
      <c r="C252" s="7"/>
      <c r="D252" s="6"/>
      <c r="E252" s="6"/>
      <c r="F252" s="6"/>
      <c r="G252" s="6"/>
      <c r="H252" s="6"/>
      <c r="I252" s="6"/>
      <c r="J252" s="6"/>
      <c r="K252" s="6"/>
      <c r="L252" s="6"/>
      <c r="M252" s="93"/>
    </row>
    <row r="253" spans="2:22" x14ac:dyDescent="0.55000000000000004">
      <c r="B253" s="13" t="s">
        <v>434</v>
      </c>
      <c r="C253" s="7"/>
      <c r="D253" s="6"/>
      <c r="E253" s="6"/>
      <c r="F253" s="6"/>
      <c r="G253" s="6"/>
      <c r="H253" s="6"/>
      <c r="I253" s="6"/>
      <c r="J253" s="6"/>
      <c r="K253" s="6"/>
      <c r="L253" s="6"/>
      <c r="M253" s="93"/>
    </row>
    <row r="254" spans="2:22" x14ac:dyDescent="0.55000000000000004">
      <c r="B254" s="13" t="s">
        <v>435</v>
      </c>
      <c r="C254" s="7"/>
      <c r="D254" s="6"/>
      <c r="E254" s="6"/>
      <c r="F254" s="6"/>
      <c r="G254" s="6"/>
      <c r="H254" s="6"/>
      <c r="I254" s="6"/>
      <c r="J254" s="6"/>
      <c r="K254" s="6"/>
      <c r="L254" s="6"/>
      <c r="M254" s="93"/>
    </row>
    <row r="255" spans="2:22" x14ac:dyDescent="0.55000000000000004">
      <c r="B255" s="13" t="s">
        <v>436</v>
      </c>
      <c r="C255" s="7"/>
      <c r="D255" s="6"/>
      <c r="E255" s="6"/>
      <c r="F255" s="6"/>
      <c r="G255" s="6"/>
      <c r="H255" s="6"/>
      <c r="I255" s="6"/>
      <c r="J255" s="6"/>
      <c r="K255" s="6"/>
      <c r="L255" s="6"/>
      <c r="M255" s="93"/>
    </row>
    <row r="256" spans="2:22" x14ac:dyDescent="0.55000000000000004">
      <c r="B256" s="13" t="s">
        <v>437</v>
      </c>
      <c r="C256" s="7"/>
      <c r="D256" s="6"/>
      <c r="E256" s="6"/>
      <c r="F256" s="6"/>
      <c r="G256" s="6"/>
      <c r="H256" s="6"/>
      <c r="I256" s="6"/>
      <c r="J256" s="6"/>
      <c r="K256" s="6"/>
      <c r="L256" s="6"/>
      <c r="M256" s="93"/>
    </row>
    <row r="257" spans="2:13" x14ac:dyDescent="0.55000000000000004">
      <c r="B257" s="13" t="s">
        <v>438</v>
      </c>
      <c r="C257" s="7"/>
      <c r="D257" s="6"/>
      <c r="E257" s="6"/>
      <c r="F257" s="6"/>
      <c r="G257" s="6"/>
      <c r="H257" s="6"/>
      <c r="I257" s="6"/>
      <c r="J257" s="6"/>
      <c r="K257" s="6"/>
      <c r="L257" s="6"/>
      <c r="M257" s="93"/>
    </row>
    <row r="258" spans="2:13" x14ac:dyDescent="0.55000000000000004">
      <c r="B258" s="13" t="s">
        <v>439</v>
      </c>
      <c r="C258" s="1"/>
      <c r="D258" s="6"/>
      <c r="E258" s="6"/>
      <c r="F258" s="6"/>
      <c r="G258" s="6"/>
      <c r="H258" s="6"/>
      <c r="I258" s="6"/>
      <c r="J258" s="6"/>
      <c r="K258" s="6"/>
      <c r="L258" s="6"/>
      <c r="M258" s="93"/>
    </row>
    <row r="259" spans="2:13" x14ac:dyDescent="0.55000000000000004">
      <c r="B259" s="13" t="s">
        <v>440</v>
      </c>
      <c r="C259" s="7"/>
      <c r="D259" s="6"/>
      <c r="E259" s="6"/>
      <c r="F259" s="6"/>
      <c r="G259" s="6"/>
      <c r="H259" s="6"/>
      <c r="I259" s="6"/>
      <c r="J259" s="6"/>
      <c r="K259" s="6"/>
      <c r="L259" s="6"/>
      <c r="M259" s="93"/>
    </row>
    <row r="260" spans="2:13" x14ac:dyDescent="0.55000000000000004">
      <c r="B260" s="13" t="s">
        <v>441</v>
      </c>
      <c r="C260" s="7"/>
      <c r="D260" s="6"/>
      <c r="E260" s="6"/>
      <c r="F260" s="6"/>
      <c r="G260" s="6"/>
      <c r="H260" s="6"/>
      <c r="I260" s="6"/>
      <c r="J260" s="6"/>
      <c r="K260" s="6"/>
      <c r="L260" s="6"/>
      <c r="M260" s="93"/>
    </row>
    <row r="261" spans="2:13" x14ac:dyDescent="0.55000000000000004">
      <c r="B261" s="13" t="s">
        <v>442</v>
      </c>
      <c r="C261" s="7"/>
      <c r="D261" s="6"/>
      <c r="E261" s="6"/>
      <c r="F261" s="6"/>
      <c r="G261" s="6"/>
      <c r="H261" s="6"/>
      <c r="I261" s="6"/>
      <c r="J261" s="6"/>
      <c r="K261" s="6"/>
      <c r="L261" s="6"/>
      <c r="M261" s="93"/>
    </row>
    <row r="262" spans="2:13" x14ac:dyDescent="0.55000000000000004">
      <c r="B262" s="13" t="s">
        <v>443</v>
      </c>
      <c r="C262" s="7"/>
      <c r="D262" s="6"/>
      <c r="E262" s="6"/>
      <c r="F262" s="6"/>
      <c r="G262" s="6"/>
      <c r="H262" s="6"/>
      <c r="I262" s="6"/>
      <c r="J262" s="6"/>
      <c r="K262" s="6"/>
      <c r="L262" s="6"/>
      <c r="M262" s="93"/>
    </row>
    <row r="263" spans="2:13" x14ac:dyDescent="0.55000000000000004">
      <c r="B263" s="13" t="s">
        <v>444</v>
      </c>
      <c r="C263" s="7"/>
      <c r="D263" s="6"/>
      <c r="E263" s="6"/>
      <c r="F263" s="6"/>
      <c r="G263" s="6"/>
      <c r="H263" s="6"/>
      <c r="I263" s="6"/>
      <c r="J263" s="6"/>
      <c r="K263" s="6"/>
      <c r="L263" s="6"/>
      <c r="M263" s="93"/>
    </row>
    <row r="264" spans="2:13" x14ac:dyDescent="0.55000000000000004">
      <c r="B264" s="13" t="s">
        <v>303</v>
      </c>
      <c r="C264" s="7"/>
      <c r="D264" s="6"/>
      <c r="E264" s="6"/>
      <c r="F264" s="6"/>
      <c r="G264" s="6"/>
      <c r="H264" s="6"/>
      <c r="I264" s="6"/>
      <c r="J264" s="6"/>
      <c r="K264" s="6"/>
      <c r="L264" s="6"/>
      <c r="M264" s="93"/>
    </row>
    <row r="265" spans="2:13" x14ac:dyDescent="0.55000000000000004">
      <c r="B265" s="21"/>
      <c r="C265" s="6" t="s">
        <v>394</v>
      </c>
      <c r="D265" s="6"/>
      <c r="E265" s="6"/>
      <c r="F265" s="6"/>
      <c r="G265" s="6"/>
      <c r="H265" s="6"/>
      <c r="I265" s="6"/>
      <c r="J265" s="6"/>
      <c r="K265" s="6"/>
      <c r="L265" s="6"/>
      <c r="M265" s="93"/>
    </row>
    <row r="266" spans="2:13" x14ac:dyDescent="0.55000000000000004">
      <c r="B266" s="74" t="s">
        <v>158</v>
      </c>
      <c r="C266" s="6" t="s">
        <v>159</v>
      </c>
      <c r="D266" s="6"/>
      <c r="E266" s="6"/>
      <c r="F266" s="6"/>
      <c r="G266" s="6"/>
      <c r="H266" s="6"/>
      <c r="I266" s="6"/>
      <c r="J266" s="6"/>
      <c r="K266" s="6"/>
      <c r="L266" s="6"/>
      <c r="M266" s="93"/>
    </row>
    <row r="267" spans="2:13" x14ac:dyDescent="0.55000000000000004">
      <c r="B267" s="13" t="s">
        <v>160</v>
      </c>
      <c r="C267" s="7"/>
      <c r="D267" s="6"/>
      <c r="E267" s="6"/>
      <c r="F267" s="6"/>
      <c r="G267" s="6"/>
      <c r="H267" s="6"/>
      <c r="I267" s="6"/>
      <c r="J267" s="6"/>
      <c r="K267" s="6"/>
      <c r="L267" s="6"/>
      <c r="M267" s="93"/>
    </row>
    <row r="268" spans="2:13" x14ac:dyDescent="0.55000000000000004">
      <c r="B268" s="13" t="s">
        <v>1182</v>
      </c>
      <c r="C268" s="7"/>
      <c r="D268" s="6"/>
      <c r="E268" s="6"/>
      <c r="F268" s="6"/>
      <c r="G268" s="6"/>
      <c r="H268" s="6"/>
      <c r="I268" s="6"/>
      <c r="J268" s="6"/>
      <c r="K268" s="6"/>
      <c r="L268" s="6"/>
      <c r="M268" s="93"/>
    </row>
    <row r="269" spans="2:13" x14ac:dyDescent="0.55000000000000004">
      <c r="B269" s="13" t="s">
        <v>161</v>
      </c>
      <c r="C269" s="7"/>
      <c r="D269" s="6"/>
      <c r="E269" s="6"/>
      <c r="F269" s="6"/>
      <c r="G269" s="6"/>
      <c r="H269" s="6"/>
      <c r="I269" s="6"/>
      <c r="J269" s="6"/>
      <c r="K269" s="6"/>
      <c r="L269" s="6"/>
      <c r="M269" s="93"/>
    </row>
    <row r="270" spans="2:13" x14ac:dyDescent="0.55000000000000004">
      <c r="B270" s="21"/>
      <c r="C270" s="6" t="s">
        <v>394</v>
      </c>
      <c r="D270" s="6"/>
      <c r="E270" s="6"/>
      <c r="F270" s="6"/>
      <c r="G270" s="6"/>
      <c r="H270" s="6"/>
      <c r="I270" s="6"/>
      <c r="J270" s="6"/>
      <c r="K270" s="6"/>
      <c r="L270" s="6"/>
      <c r="M270" s="93"/>
    </row>
    <row r="271" spans="2:13" x14ac:dyDescent="0.55000000000000004">
      <c r="B271" s="74" t="s">
        <v>155</v>
      </c>
      <c r="C271" s="6" t="s">
        <v>157</v>
      </c>
      <c r="D271" s="6"/>
      <c r="E271" s="6"/>
      <c r="F271" s="6"/>
      <c r="G271" s="6"/>
      <c r="H271" s="6"/>
      <c r="I271" s="6"/>
      <c r="J271" s="6"/>
      <c r="K271" s="6"/>
      <c r="L271" s="6"/>
      <c r="M271" s="93"/>
    </row>
    <row r="272" spans="2:13" x14ac:dyDescent="0.55000000000000004">
      <c r="B272" s="13" t="s">
        <v>445</v>
      </c>
      <c r="C272" s="7"/>
      <c r="D272" s="6"/>
      <c r="E272" s="6"/>
      <c r="F272" s="6"/>
      <c r="G272" s="6"/>
      <c r="H272" s="6"/>
      <c r="I272" s="6"/>
      <c r="J272" s="6"/>
      <c r="K272" s="6"/>
      <c r="L272" s="6"/>
      <c r="M272" s="93"/>
    </row>
    <row r="273" spans="2:19" x14ac:dyDescent="0.55000000000000004">
      <c r="B273" s="13" t="s">
        <v>1183</v>
      </c>
      <c r="C273" s="7"/>
      <c r="D273" s="6"/>
      <c r="E273" s="6"/>
      <c r="F273" s="6"/>
      <c r="G273" s="6"/>
      <c r="H273" s="6"/>
      <c r="I273" s="6"/>
      <c r="J273" s="6"/>
      <c r="K273" s="6"/>
      <c r="L273" s="6"/>
      <c r="M273" s="93"/>
    </row>
    <row r="274" spans="2:19" x14ac:dyDescent="0.55000000000000004">
      <c r="B274" s="13" t="s">
        <v>156</v>
      </c>
      <c r="C274" s="7"/>
      <c r="D274" s="6"/>
      <c r="E274" s="6"/>
      <c r="F274" s="6"/>
      <c r="G274" s="6"/>
      <c r="H274" s="6"/>
      <c r="I274" s="6"/>
      <c r="J274" s="6"/>
      <c r="K274" s="6"/>
      <c r="L274" s="6"/>
      <c r="M274" s="93"/>
    </row>
    <row r="275" spans="2:19" x14ac:dyDescent="0.55000000000000004">
      <c r="B275" s="13" t="s">
        <v>304</v>
      </c>
      <c r="C275" s="7"/>
      <c r="D275" s="6"/>
      <c r="E275" s="6"/>
      <c r="F275" s="6"/>
      <c r="G275" s="6"/>
      <c r="H275" s="6"/>
      <c r="I275" s="6"/>
      <c r="J275" s="6"/>
      <c r="K275" s="6"/>
      <c r="L275" s="6"/>
      <c r="M275" s="93"/>
    </row>
    <row r="276" spans="2:19" x14ac:dyDescent="0.55000000000000004">
      <c r="B276" s="13" t="s">
        <v>305</v>
      </c>
      <c r="C276" s="7"/>
      <c r="D276" s="6"/>
      <c r="E276" s="6"/>
      <c r="F276" s="6"/>
      <c r="G276" s="6"/>
      <c r="H276" s="6"/>
      <c r="I276" s="6"/>
      <c r="J276" s="6"/>
      <c r="K276" s="6"/>
      <c r="L276" s="6"/>
      <c r="M276" s="93"/>
    </row>
    <row r="277" spans="2:19" x14ac:dyDescent="0.55000000000000004">
      <c r="B277" s="21"/>
      <c r="C277" s="6" t="s">
        <v>394</v>
      </c>
      <c r="D277" s="6"/>
      <c r="E277" s="6"/>
      <c r="F277" s="6"/>
      <c r="G277" s="6"/>
      <c r="H277" s="6"/>
      <c r="I277" s="6"/>
      <c r="J277" s="6"/>
      <c r="K277" s="6"/>
      <c r="L277" s="6"/>
      <c r="M277" s="93"/>
    </row>
    <row r="278" spans="2:19" x14ac:dyDescent="0.55000000000000004">
      <c r="B278" s="74" t="s">
        <v>327</v>
      </c>
      <c r="C278" s="6" t="s">
        <v>95</v>
      </c>
      <c r="D278" s="6"/>
      <c r="E278" s="6"/>
      <c r="F278" s="6"/>
      <c r="G278" s="6"/>
      <c r="H278" s="6"/>
      <c r="I278" s="6"/>
      <c r="J278" s="6"/>
      <c r="K278" s="6"/>
      <c r="L278" s="6"/>
      <c r="M278" s="93"/>
      <c r="N278" s="11"/>
      <c r="O278" s="11"/>
      <c r="P278" s="11"/>
      <c r="Q278" s="11"/>
      <c r="R278" s="11"/>
      <c r="S278" s="11"/>
    </row>
    <row r="279" spans="2:19" x14ac:dyDescent="0.55000000000000004">
      <c r="B279" s="13" t="s">
        <v>150</v>
      </c>
      <c r="C279" s="7" t="s">
        <v>1804</v>
      </c>
      <c r="D279" s="7"/>
      <c r="E279" s="7"/>
      <c r="F279" s="6"/>
      <c r="G279" s="6"/>
      <c r="H279" s="6"/>
      <c r="I279" s="6"/>
      <c r="J279" s="6"/>
      <c r="K279" s="6"/>
      <c r="L279" s="6"/>
      <c r="M279" s="93"/>
      <c r="N279" s="11"/>
      <c r="O279" s="11"/>
      <c r="P279" s="11"/>
      <c r="Q279" s="11"/>
      <c r="R279" s="11"/>
      <c r="S279" s="11"/>
    </row>
    <row r="280" spans="2:19" x14ac:dyDescent="0.55000000000000004">
      <c r="B280" s="13" t="s">
        <v>149</v>
      </c>
      <c r="C280" s="7" t="s">
        <v>17</v>
      </c>
      <c r="D280" s="7"/>
      <c r="E280" s="7"/>
      <c r="F280" s="6"/>
      <c r="G280" s="6"/>
      <c r="H280" s="6"/>
      <c r="I280" s="6"/>
      <c r="J280" s="6"/>
      <c r="K280" s="6"/>
      <c r="L280" s="6"/>
      <c r="M280" s="93"/>
      <c r="N280" s="11"/>
      <c r="O280" s="11"/>
      <c r="P280" s="11"/>
      <c r="Q280" s="11"/>
      <c r="R280" s="11"/>
      <c r="S280" s="11"/>
    </row>
    <row r="281" spans="2:19" x14ac:dyDescent="0.55000000000000004">
      <c r="B281" s="13" t="s">
        <v>151</v>
      </c>
      <c r="C281" s="7">
        <v>40</v>
      </c>
      <c r="D281" s="7"/>
      <c r="E281" s="7"/>
      <c r="F281" s="6"/>
      <c r="G281" s="6"/>
      <c r="H281" s="6"/>
      <c r="I281" s="6"/>
      <c r="J281" s="6"/>
      <c r="K281" s="6"/>
      <c r="L281" s="6"/>
      <c r="M281" s="93"/>
      <c r="N281" s="11"/>
      <c r="O281" s="11"/>
      <c r="P281" s="11"/>
      <c r="Q281" s="11"/>
      <c r="R281" s="11"/>
      <c r="S281" s="11"/>
    </row>
    <row r="282" spans="2:19" x14ac:dyDescent="0.55000000000000004">
      <c r="B282" s="13" t="s">
        <v>152</v>
      </c>
      <c r="C282" s="7"/>
      <c r="D282" s="7"/>
      <c r="E282" s="7"/>
      <c r="F282" s="6"/>
      <c r="G282" s="6"/>
      <c r="H282" s="6"/>
      <c r="I282" s="6"/>
      <c r="J282" s="6"/>
      <c r="K282" s="6"/>
      <c r="L282" s="6"/>
      <c r="M282" s="93"/>
      <c r="N282" s="11"/>
      <c r="O282" s="11"/>
      <c r="P282" s="11"/>
      <c r="Q282" s="11"/>
      <c r="R282" s="11"/>
      <c r="S282" s="11"/>
    </row>
    <row r="283" spans="2:19" x14ac:dyDescent="0.55000000000000004">
      <c r="B283" s="13" t="s">
        <v>153</v>
      </c>
      <c r="C283" s="7"/>
      <c r="D283" s="7"/>
      <c r="E283" s="7"/>
      <c r="F283" s="6"/>
      <c r="G283" s="6"/>
      <c r="H283" s="6"/>
      <c r="I283" s="6"/>
      <c r="J283" s="6"/>
      <c r="K283" s="6"/>
      <c r="L283" s="6"/>
      <c r="M283" s="93"/>
      <c r="N283" s="11"/>
      <c r="O283" s="11"/>
      <c r="P283" s="11"/>
      <c r="Q283" s="11"/>
      <c r="R283" s="11"/>
      <c r="S283" s="11"/>
    </row>
    <row r="284" spans="2:19" x14ac:dyDescent="0.55000000000000004">
      <c r="B284" s="13" t="s">
        <v>346</v>
      </c>
      <c r="C284" s="7"/>
      <c r="D284" s="7"/>
      <c r="E284" s="7"/>
      <c r="F284" s="6"/>
      <c r="G284" s="6"/>
      <c r="H284" s="6"/>
      <c r="I284" s="6"/>
      <c r="J284" s="6"/>
      <c r="K284" s="6"/>
      <c r="L284" s="6"/>
      <c r="M284" s="93"/>
      <c r="N284" s="11"/>
      <c r="O284" s="11"/>
      <c r="P284" s="11"/>
      <c r="Q284" s="11"/>
      <c r="R284" s="11"/>
      <c r="S284" s="11"/>
    </row>
    <row r="285" spans="2:19" x14ac:dyDescent="0.55000000000000004">
      <c r="B285" s="13" t="s">
        <v>1184</v>
      </c>
      <c r="C285" s="7"/>
      <c r="D285" s="7"/>
      <c r="E285" s="7"/>
      <c r="F285" s="6"/>
      <c r="G285" s="6"/>
      <c r="H285" s="6"/>
      <c r="I285" s="6"/>
      <c r="J285" s="6"/>
      <c r="K285" s="6"/>
      <c r="L285" s="6"/>
      <c r="M285" s="93"/>
      <c r="N285" s="11"/>
      <c r="O285" s="11"/>
      <c r="P285" s="11"/>
      <c r="Q285" s="11"/>
      <c r="R285" s="11"/>
      <c r="S285" s="11"/>
    </row>
    <row r="286" spans="2:19" x14ac:dyDescent="0.55000000000000004">
      <c r="B286" s="13" t="s">
        <v>347</v>
      </c>
      <c r="C286" s="7"/>
      <c r="D286" s="7"/>
      <c r="E286" s="7"/>
      <c r="F286" s="6"/>
      <c r="G286" s="6"/>
      <c r="H286" s="6"/>
      <c r="I286" s="6"/>
      <c r="J286" s="6"/>
      <c r="K286" s="6"/>
      <c r="L286" s="6"/>
      <c r="M286" s="93"/>
      <c r="N286" s="11"/>
      <c r="O286" s="11"/>
      <c r="P286" s="11"/>
      <c r="Q286" s="11"/>
      <c r="R286" s="11"/>
      <c r="S286" s="11"/>
    </row>
    <row r="287" spans="2:19" x14ac:dyDescent="0.55000000000000004">
      <c r="B287" s="21"/>
      <c r="C287" s="6" t="s">
        <v>394</v>
      </c>
      <c r="D287" s="6"/>
      <c r="E287" s="6"/>
      <c r="F287" s="6"/>
      <c r="G287" s="6"/>
      <c r="H287" s="6"/>
      <c r="I287" s="6"/>
      <c r="J287" s="6"/>
      <c r="K287" s="6"/>
      <c r="L287" s="6"/>
      <c r="M287" s="93"/>
    </row>
    <row r="288" spans="2:19" x14ac:dyDescent="0.55000000000000004">
      <c r="B288" s="74" t="s">
        <v>328</v>
      </c>
      <c r="C288" s="6" t="s">
        <v>29</v>
      </c>
      <c r="D288" s="6"/>
      <c r="E288" s="6"/>
      <c r="F288" s="6"/>
      <c r="G288" s="6"/>
      <c r="H288" s="6"/>
      <c r="I288" s="6"/>
      <c r="J288" s="6"/>
      <c r="K288" s="6"/>
      <c r="L288" s="6"/>
      <c r="M288" s="93"/>
    </row>
    <row r="289" spans="1:23" x14ac:dyDescent="0.55000000000000004">
      <c r="B289" s="13" t="s">
        <v>154</v>
      </c>
      <c r="C289" s="7" t="s">
        <v>2</v>
      </c>
      <c r="D289" s="7"/>
      <c r="E289" s="6"/>
      <c r="F289" s="6"/>
      <c r="G289" s="6"/>
      <c r="H289" s="6"/>
      <c r="I289" s="6"/>
      <c r="J289" s="6"/>
      <c r="K289" s="6"/>
      <c r="L289" s="6"/>
      <c r="M289" s="93"/>
    </row>
    <row r="290" spans="1:23" x14ac:dyDescent="0.55000000000000004">
      <c r="A290" s="35" t="s">
        <v>882</v>
      </c>
      <c r="B290" s="21"/>
      <c r="C290" s="6" t="s">
        <v>394</v>
      </c>
      <c r="D290" s="6"/>
      <c r="E290" s="6"/>
      <c r="F290" s="6"/>
      <c r="G290" s="6"/>
      <c r="H290" s="6"/>
      <c r="I290" s="6"/>
      <c r="J290" s="6"/>
      <c r="K290" s="6"/>
      <c r="L290" s="6"/>
      <c r="M290" s="93"/>
    </row>
    <row r="291" spans="1:23" x14ac:dyDescent="0.55000000000000004">
      <c r="A291" s="31" t="s">
        <v>883</v>
      </c>
      <c r="B291" s="74" t="s">
        <v>329</v>
      </c>
      <c r="C291" s="25" t="s">
        <v>112</v>
      </c>
      <c r="D291" s="6" t="s">
        <v>107</v>
      </c>
      <c r="E291" s="6" t="s">
        <v>108</v>
      </c>
      <c r="F291" s="6" t="s">
        <v>948</v>
      </c>
      <c r="G291" s="6"/>
      <c r="H291" s="6"/>
      <c r="I291" s="6"/>
      <c r="J291" s="6"/>
      <c r="K291" s="6"/>
      <c r="L291" s="6"/>
      <c r="M291" s="93"/>
      <c r="N291" s="11"/>
      <c r="O291" s="11"/>
      <c r="S291" s="2"/>
      <c r="T291" s="2"/>
      <c r="U291" s="2"/>
      <c r="V291" s="2"/>
      <c r="W291" s="2"/>
    </row>
    <row r="292" spans="1:23" x14ac:dyDescent="0.55000000000000004">
      <c r="A292" t="s">
        <v>446</v>
      </c>
      <c r="B292" s="13" t="s">
        <v>162</v>
      </c>
      <c r="C292" s="1" t="s">
        <v>1820</v>
      </c>
      <c r="D292" s="7" t="s">
        <v>950</v>
      </c>
      <c r="E292" s="7">
        <v>1</v>
      </c>
      <c r="F292" s="7" t="s">
        <v>17</v>
      </c>
      <c r="G292" s="6"/>
      <c r="H292" s="6"/>
      <c r="I292" s="6"/>
      <c r="J292" s="6"/>
      <c r="K292" s="6"/>
      <c r="L292" s="6"/>
      <c r="M292" s="93"/>
      <c r="N292" s="11"/>
      <c r="O292" s="11"/>
      <c r="P292" s="11"/>
      <c r="Q292" s="11"/>
      <c r="R292" s="11"/>
    </row>
    <row r="293" spans="1:23" x14ac:dyDescent="0.55000000000000004">
      <c r="A293" t="s">
        <v>447</v>
      </c>
      <c r="B293" s="13" t="s">
        <v>34</v>
      </c>
      <c r="C293" s="1" t="s">
        <v>1154</v>
      </c>
      <c r="D293" s="7" t="s">
        <v>1141</v>
      </c>
      <c r="E293" s="7">
        <v>1</v>
      </c>
      <c r="F293" s="7" t="s">
        <v>17</v>
      </c>
      <c r="G293" s="6"/>
      <c r="H293" s="6"/>
      <c r="I293" s="6"/>
      <c r="J293" s="6"/>
      <c r="K293" s="6"/>
      <c r="L293" s="6"/>
      <c r="M293" s="93"/>
      <c r="N293" s="11"/>
      <c r="O293" s="11"/>
      <c r="P293" s="11"/>
      <c r="Q293" s="11"/>
      <c r="R293" s="11"/>
    </row>
    <row r="294" spans="1:23" x14ac:dyDescent="0.55000000000000004">
      <c r="A294" t="s">
        <v>448</v>
      </c>
      <c r="B294" s="13" t="s">
        <v>35</v>
      </c>
      <c r="C294" s="1" t="s">
        <v>1155</v>
      </c>
      <c r="D294" s="7" t="s">
        <v>1141</v>
      </c>
      <c r="E294" s="7">
        <v>1</v>
      </c>
      <c r="F294" s="7" t="s">
        <v>17</v>
      </c>
      <c r="G294" s="6"/>
      <c r="H294" s="6"/>
      <c r="I294" s="6"/>
      <c r="J294" s="6"/>
      <c r="K294" s="6"/>
      <c r="L294" s="6"/>
      <c r="M294" s="93"/>
      <c r="N294" s="11"/>
      <c r="O294" s="11"/>
      <c r="P294" s="11"/>
      <c r="Q294" s="11"/>
      <c r="R294" s="11"/>
    </row>
    <row r="295" spans="1:23" x14ac:dyDescent="0.55000000000000004">
      <c r="A295" t="s">
        <v>449</v>
      </c>
      <c r="B295" s="13" t="s">
        <v>36</v>
      </c>
      <c r="C295" s="1" t="s">
        <v>1156</v>
      </c>
      <c r="D295" s="7" t="s">
        <v>1141</v>
      </c>
      <c r="E295" s="7">
        <v>1</v>
      </c>
      <c r="F295" s="7" t="s">
        <v>940</v>
      </c>
      <c r="G295" s="6"/>
      <c r="H295" s="6"/>
      <c r="I295" s="6"/>
      <c r="J295" s="6"/>
      <c r="K295" s="6"/>
      <c r="L295" s="6"/>
      <c r="M295" s="93"/>
      <c r="N295" s="11"/>
      <c r="O295" s="11"/>
      <c r="P295" s="11"/>
      <c r="Q295" s="11"/>
      <c r="R295" s="11"/>
    </row>
    <row r="296" spans="1:23" x14ac:dyDescent="0.55000000000000004">
      <c r="A296"/>
      <c r="B296" s="13" t="s">
        <v>37</v>
      </c>
      <c r="C296" s="1" t="s">
        <v>1157</v>
      </c>
      <c r="D296" s="7" t="s">
        <v>1141</v>
      </c>
      <c r="E296" s="7">
        <v>1</v>
      </c>
      <c r="F296" s="7" t="s">
        <v>17</v>
      </c>
      <c r="G296" s="6"/>
      <c r="H296" s="6"/>
      <c r="I296" s="6"/>
      <c r="J296" s="6"/>
      <c r="K296" s="6"/>
      <c r="L296" s="6"/>
      <c r="M296" s="93"/>
      <c r="N296" s="11"/>
      <c r="O296" s="11"/>
      <c r="P296" s="11"/>
      <c r="Q296" s="11"/>
      <c r="R296" s="11"/>
    </row>
    <row r="297" spans="1:23" x14ac:dyDescent="0.55000000000000004">
      <c r="A297" t="s">
        <v>450</v>
      </c>
      <c r="B297" s="13" t="s">
        <v>38</v>
      </c>
      <c r="C297" s="1" t="s">
        <v>1158</v>
      </c>
      <c r="D297" s="7" t="s">
        <v>1141</v>
      </c>
      <c r="E297" s="7">
        <v>1</v>
      </c>
      <c r="F297" s="7" t="s">
        <v>17</v>
      </c>
      <c r="G297" s="6"/>
      <c r="H297" s="6"/>
      <c r="I297" s="6"/>
      <c r="J297" s="6"/>
      <c r="K297" s="6"/>
      <c r="L297" s="6"/>
      <c r="M297" s="93"/>
      <c r="N297" s="11"/>
      <c r="O297" s="11"/>
      <c r="P297" s="11"/>
      <c r="Q297" s="11"/>
      <c r="R297" s="11"/>
    </row>
    <row r="298" spans="1:23" x14ac:dyDescent="0.55000000000000004">
      <c r="B298" s="13" t="s">
        <v>39</v>
      </c>
      <c r="C298" s="1" t="s">
        <v>1159</v>
      </c>
      <c r="D298" s="7" t="s">
        <v>1141</v>
      </c>
      <c r="E298" s="7">
        <v>1</v>
      </c>
      <c r="F298" s="7" t="s">
        <v>17</v>
      </c>
      <c r="G298" s="6"/>
      <c r="H298" s="6"/>
      <c r="I298" s="6"/>
      <c r="J298" s="6"/>
      <c r="K298" s="6"/>
      <c r="L298" s="6"/>
      <c r="M298" s="93"/>
      <c r="N298" s="11"/>
      <c r="O298" s="11"/>
      <c r="P298" s="11"/>
      <c r="Q298" s="11"/>
      <c r="R298" s="11"/>
    </row>
    <row r="299" spans="1:23" x14ac:dyDescent="0.55000000000000004">
      <c r="B299" s="13" t="s">
        <v>40</v>
      </c>
      <c r="C299" s="1" t="s">
        <v>1160</v>
      </c>
      <c r="D299" s="7" t="s">
        <v>1141</v>
      </c>
      <c r="E299" s="7">
        <v>1</v>
      </c>
      <c r="F299" s="7" t="s">
        <v>17</v>
      </c>
      <c r="G299" s="6"/>
      <c r="H299" s="6"/>
      <c r="I299" s="6"/>
      <c r="J299" s="6"/>
      <c r="K299" s="6"/>
      <c r="L299" s="6"/>
      <c r="M299" s="93"/>
      <c r="N299" s="11"/>
      <c r="O299" s="11"/>
      <c r="P299" s="11"/>
      <c r="Q299" s="11"/>
      <c r="R299" s="11"/>
    </row>
    <row r="300" spans="1:23" x14ac:dyDescent="0.55000000000000004">
      <c r="B300" s="13" t="s">
        <v>41</v>
      </c>
      <c r="C300" s="1" t="s">
        <v>1161</v>
      </c>
      <c r="D300" s="7" t="s">
        <v>1141</v>
      </c>
      <c r="E300" s="7">
        <v>1</v>
      </c>
      <c r="F300" s="7" t="s">
        <v>17</v>
      </c>
      <c r="G300" s="6"/>
      <c r="H300" s="6"/>
      <c r="I300" s="6"/>
      <c r="J300" s="6"/>
      <c r="K300" s="6"/>
      <c r="L300" s="6"/>
      <c r="M300" s="93"/>
      <c r="N300" s="11"/>
      <c r="O300" s="11"/>
      <c r="P300" s="11"/>
      <c r="Q300" s="11"/>
      <c r="R300" s="11"/>
    </row>
    <row r="301" spans="1:23" x14ac:dyDescent="0.55000000000000004">
      <c r="B301" s="13" t="s">
        <v>42</v>
      </c>
      <c r="C301" s="1" t="s">
        <v>1162</v>
      </c>
      <c r="D301" s="7" t="s">
        <v>1141</v>
      </c>
      <c r="E301" s="7">
        <v>1</v>
      </c>
      <c r="F301" s="7" t="s">
        <v>17</v>
      </c>
      <c r="G301" s="6"/>
      <c r="H301" s="6"/>
      <c r="I301" s="6"/>
      <c r="J301" s="6"/>
      <c r="K301" s="6"/>
      <c r="L301" s="6"/>
      <c r="M301" s="93"/>
      <c r="N301" s="11"/>
      <c r="O301" s="11"/>
      <c r="P301" s="11"/>
      <c r="Q301" s="11"/>
      <c r="R301" s="11"/>
    </row>
    <row r="302" spans="1:23" x14ac:dyDescent="0.55000000000000004">
      <c r="B302" s="13" t="s">
        <v>43</v>
      </c>
      <c r="C302" s="1" t="s">
        <v>1163</v>
      </c>
      <c r="D302" s="7" t="s">
        <v>1141</v>
      </c>
      <c r="E302" s="7">
        <v>1</v>
      </c>
      <c r="F302" s="7" t="s">
        <v>17</v>
      </c>
      <c r="G302" s="6"/>
      <c r="H302" s="6"/>
      <c r="I302" s="6"/>
      <c r="J302" s="6"/>
      <c r="K302" s="6"/>
      <c r="L302" s="6"/>
      <c r="M302" s="93"/>
      <c r="N302" s="11"/>
      <c r="O302" s="11"/>
      <c r="P302" s="11"/>
      <c r="Q302" s="11"/>
      <c r="R302" s="11"/>
    </row>
    <row r="303" spans="1:23" x14ac:dyDescent="0.55000000000000004">
      <c r="B303" s="13" t="s">
        <v>44</v>
      </c>
      <c r="C303" s="1" t="s">
        <v>1164</v>
      </c>
      <c r="D303" s="7" t="s">
        <v>1141</v>
      </c>
      <c r="E303" s="7">
        <v>1</v>
      </c>
      <c r="F303" s="7" t="s">
        <v>17</v>
      </c>
      <c r="G303" s="6"/>
      <c r="H303" s="6"/>
      <c r="I303" s="6"/>
      <c r="J303" s="6"/>
      <c r="K303" s="6"/>
      <c r="L303" s="6"/>
      <c r="M303" s="93"/>
      <c r="N303" s="11"/>
      <c r="O303" s="11"/>
      <c r="P303" s="11"/>
      <c r="Q303" s="11"/>
      <c r="R303" s="11"/>
    </row>
    <row r="304" spans="1:23" x14ac:dyDescent="0.55000000000000004">
      <c r="B304" s="13" t="s">
        <v>45</v>
      </c>
      <c r="C304" s="1" t="s">
        <v>1165</v>
      </c>
      <c r="D304" s="7" t="s">
        <v>1141</v>
      </c>
      <c r="E304" s="7">
        <v>1</v>
      </c>
      <c r="F304" s="7" t="s">
        <v>17</v>
      </c>
      <c r="G304" s="6"/>
      <c r="H304" s="6"/>
      <c r="I304" s="6"/>
      <c r="J304" s="6"/>
      <c r="K304" s="6"/>
      <c r="L304" s="6"/>
      <c r="M304" s="93"/>
      <c r="N304" s="11"/>
      <c r="O304" s="11"/>
      <c r="P304" s="11"/>
      <c r="Q304" s="11"/>
      <c r="R304" s="11"/>
    </row>
    <row r="305" spans="1:18" x14ac:dyDescent="0.55000000000000004">
      <c r="B305" s="13" t="s">
        <v>46</v>
      </c>
      <c r="C305" s="1" t="s">
        <v>1166</v>
      </c>
      <c r="D305" s="7" t="s">
        <v>1141</v>
      </c>
      <c r="E305" s="7">
        <v>1</v>
      </c>
      <c r="F305" s="7" t="s">
        <v>17</v>
      </c>
      <c r="G305" s="6"/>
      <c r="H305" s="6"/>
      <c r="I305" s="6"/>
      <c r="J305" s="6"/>
      <c r="K305" s="6"/>
      <c r="L305" s="6"/>
      <c r="M305" s="93"/>
      <c r="N305" s="11"/>
      <c r="O305" s="11"/>
      <c r="P305" s="11"/>
      <c r="Q305" s="11"/>
      <c r="R305" s="11"/>
    </row>
    <row r="306" spans="1:18" x14ac:dyDescent="0.55000000000000004">
      <c r="B306" s="13" t="s">
        <v>47</v>
      </c>
      <c r="C306" s="1" t="s">
        <v>1167</v>
      </c>
      <c r="D306" s="7" t="s">
        <v>1141</v>
      </c>
      <c r="E306" s="7">
        <v>1</v>
      </c>
      <c r="F306" s="7" t="s">
        <v>17</v>
      </c>
      <c r="G306" s="6"/>
      <c r="H306" s="6"/>
      <c r="I306" s="6"/>
      <c r="J306" s="6"/>
      <c r="K306" s="6"/>
      <c r="L306" s="6"/>
      <c r="M306" s="93"/>
      <c r="N306" s="11"/>
      <c r="O306" s="11"/>
      <c r="P306" s="11"/>
      <c r="Q306" s="11"/>
      <c r="R306" s="11"/>
    </row>
    <row r="307" spans="1:18" x14ac:dyDescent="0.55000000000000004">
      <c r="B307" s="21"/>
      <c r="C307" s="6" t="s">
        <v>394</v>
      </c>
      <c r="D307" s="6"/>
      <c r="E307" s="6"/>
      <c r="F307" s="6"/>
      <c r="G307" s="6"/>
      <c r="H307" s="6"/>
      <c r="I307" s="6"/>
      <c r="J307" s="6"/>
      <c r="K307" s="6"/>
      <c r="L307" s="6"/>
      <c r="M307" s="93"/>
    </row>
    <row r="308" spans="1:18" x14ac:dyDescent="0.55000000000000004">
      <c r="A308" t="s">
        <v>884</v>
      </c>
      <c r="B308" s="74" t="s">
        <v>330</v>
      </c>
      <c r="C308" s="6" t="s">
        <v>952</v>
      </c>
      <c r="D308" s="6"/>
      <c r="E308" s="6"/>
      <c r="F308" s="6"/>
      <c r="G308" s="6"/>
      <c r="H308" s="6"/>
      <c r="I308" s="6"/>
      <c r="J308" s="6"/>
      <c r="K308" s="6"/>
      <c r="L308" s="6"/>
      <c r="M308" s="93"/>
      <c r="P308" s="3"/>
      <c r="Q308" s="3"/>
    </row>
    <row r="309" spans="1:18" x14ac:dyDescent="0.55000000000000004">
      <c r="B309" s="13" t="s">
        <v>322</v>
      </c>
      <c r="C309" s="7" t="s">
        <v>940</v>
      </c>
      <c r="D309" s="6"/>
      <c r="E309" s="6"/>
      <c r="F309" s="6"/>
      <c r="G309" s="6"/>
      <c r="H309" s="6"/>
      <c r="I309" s="6"/>
      <c r="J309" s="6"/>
      <c r="K309" s="6"/>
      <c r="L309" s="6"/>
      <c r="M309" s="93"/>
    </row>
    <row r="310" spans="1:18" x14ac:dyDescent="0.55000000000000004">
      <c r="B310" s="13" t="s">
        <v>321</v>
      </c>
      <c r="C310" s="7">
        <v>1</v>
      </c>
      <c r="D310" s="6"/>
      <c r="E310" s="6"/>
      <c r="F310" s="6"/>
      <c r="G310" s="6"/>
      <c r="H310" s="6"/>
      <c r="I310" s="6"/>
      <c r="J310" s="6"/>
      <c r="K310" s="6"/>
      <c r="L310" s="6"/>
      <c r="M310" s="93"/>
    </row>
    <row r="311" spans="1:18" x14ac:dyDescent="0.55000000000000004">
      <c r="B311" s="13" t="s">
        <v>806</v>
      </c>
      <c r="C311" s="7">
        <v>1</v>
      </c>
      <c r="D311" s="6"/>
      <c r="E311" s="6"/>
      <c r="F311" s="6"/>
      <c r="G311" s="6"/>
      <c r="H311" s="6"/>
      <c r="I311" s="6"/>
      <c r="J311" s="6"/>
      <c r="K311" s="6"/>
      <c r="L311" s="6"/>
      <c r="M311" s="93"/>
    </row>
    <row r="312" spans="1:18" x14ac:dyDescent="0.55000000000000004">
      <c r="A312" s="34"/>
      <c r="B312" s="13" t="s">
        <v>805</v>
      </c>
      <c r="C312" s="7">
        <v>1</v>
      </c>
      <c r="D312" s="6"/>
      <c r="E312" s="6"/>
      <c r="F312" s="6"/>
      <c r="G312" s="6"/>
      <c r="H312" s="6"/>
      <c r="I312" s="6"/>
      <c r="J312" s="6"/>
      <c r="K312" s="6"/>
      <c r="L312" s="6"/>
      <c r="M312" s="93"/>
    </row>
    <row r="313" spans="1:18" x14ac:dyDescent="0.55000000000000004">
      <c r="A313" s="34"/>
      <c r="B313" s="21"/>
      <c r="C313" s="6" t="s">
        <v>394</v>
      </c>
      <c r="D313" s="6"/>
      <c r="E313" s="6"/>
      <c r="F313" s="6"/>
      <c r="G313" s="6"/>
      <c r="H313" s="6"/>
      <c r="I313" s="6"/>
      <c r="J313" s="6"/>
      <c r="K313" s="6"/>
      <c r="L313" s="6"/>
      <c r="M313" s="93"/>
    </row>
    <row r="314" spans="1:18" x14ac:dyDescent="0.55000000000000004">
      <c r="A314" s="34"/>
      <c r="B314" s="74" t="s">
        <v>331</v>
      </c>
      <c r="C314" s="6" t="s">
        <v>905</v>
      </c>
      <c r="D314" s="6"/>
      <c r="E314" s="6"/>
      <c r="F314" s="6"/>
      <c r="G314" s="6"/>
      <c r="H314" s="6"/>
      <c r="I314" s="6"/>
      <c r="J314" s="6"/>
      <c r="K314" s="6"/>
      <c r="L314" s="6"/>
      <c r="M314" s="93"/>
      <c r="N314" s="4"/>
    </row>
    <row r="315" spans="1:18" x14ac:dyDescent="0.55000000000000004">
      <c r="A315" s="34"/>
      <c r="B315" s="15" t="s">
        <v>803</v>
      </c>
      <c r="C315" s="7" t="s">
        <v>940</v>
      </c>
      <c r="D315" s="6"/>
      <c r="E315" s="6"/>
      <c r="F315" s="6"/>
      <c r="G315" s="6"/>
      <c r="H315" s="6"/>
      <c r="I315" s="6"/>
      <c r="J315" s="6"/>
      <c r="K315" s="6"/>
      <c r="L315" s="6"/>
      <c r="M315" s="93"/>
    </row>
    <row r="316" spans="1:18" s="2" customFormat="1" x14ac:dyDescent="0.55000000000000004">
      <c r="A316" s="34"/>
      <c r="B316" s="13" t="s">
        <v>348</v>
      </c>
      <c r="C316" s="7">
        <v>1</v>
      </c>
      <c r="D316" s="6"/>
      <c r="E316" s="6"/>
      <c r="F316" s="6"/>
      <c r="G316" s="6"/>
      <c r="H316" s="6"/>
      <c r="I316" s="6"/>
      <c r="J316" s="6"/>
      <c r="K316" s="6"/>
      <c r="L316" s="6"/>
      <c r="M316" s="93"/>
    </row>
    <row r="317" spans="1:18" s="2" customFormat="1" x14ac:dyDescent="0.55000000000000004">
      <c r="A317" s="34"/>
      <c r="B317" s="13" t="s">
        <v>807</v>
      </c>
      <c r="C317" s="7">
        <v>1</v>
      </c>
      <c r="D317" s="6"/>
      <c r="E317" s="6"/>
      <c r="F317" s="6"/>
      <c r="G317" s="6"/>
      <c r="H317" s="6"/>
      <c r="I317" s="6"/>
      <c r="J317" s="6"/>
      <c r="K317" s="6"/>
      <c r="L317" s="6"/>
      <c r="M317" s="93"/>
    </row>
    <row r="318" spans="1:18" s="2" customFormat="1" x14ac:dyDescent="0.55000000000000004">
      <c r="A318" s="34"/>
      <c r="B318" s="13" t="s">
        <v>804</v>
      </c>
      <c r="C318" s="7">
        <v>0.5</v>
      </c>
      <c r="D318" s="6"/>
      <c r="E318" s="6"/>
      <c r="F318" s="6"/>
      <c r="G318" s="6"/>
      <c r="H318" s="6"/>
      <c r="I318" s="6"/>
      <c r="J318" s="6"/>
      <c r="K318" s="6"/>
      <c r="L318" s="6"/>
      <c r="M318" s="93"/>
    </row>
    <row r="319" spans="1:18" s="2" customFormat="1" x14ac:dyDescent="0.55000000000000004">
      <c r="A319" s="34"/>
      <c r="B319" s="21"/>
      <c r="C319" s="6" t="s">
        <v>394</v>
      </c>
      <c r="D319" s="6"/>
      <c r="E319" s="6"/>
      <c r="F319" s="6"/>
      <c r="G319" s="6"/>
      <c r="H319" s="6"/>
      <c r="I319" s="6"/>
      <c r="J319" s="6"/>
      <c r="K319" s="6"/>
      <c r="L319" s="6"/>
      <c r="M319" s="93"/>
    </row>
    <row r="320" spans="1:18" s="2" customFormat="1" x14ac:dyDescent="0.55000000000000004">
      <c r="A320" s="30" t="s">
        <v>885</v>
      </c>
      <c r="B320" s="74" t="s">
        <v>332</v>
      </c>
      <c r="C320" s="6" t="s">
        <v>48</v>
      </c>
      <c r="D320" s="6"/>
      <c r="E320" s="12"/>
      <c r="F320" s="6"/>
      <c r="G320" s="6"/>
      <c r="H320" s="6"/>
      <c r="I320" s="6"/>
      <c r="J320" s="6"/>
      <c r="K320" s="6"/>
      <c r="L320" s="6"/>
      <c r="M320" s="93"/>
    </row>
    <row r="321" spans="1:80" s="2" customFormat="1" x14ac:dyDescent="0.55000000000000004">
      <c r="A321" s="30" t="s">
        <v>886</v>
      </c>
      <c r="B321" s="13" t="s">
        <v>798</v>
      </c>
      <c r="C321" s="7" t="s">
        <v>17</v>
      </c>
      <c r="D321" s="6"/>
      <c r="E321" s="6"/>
      <c r="F321" s="6"/>
      <c r="G321" s="6"/>
      <c r="H321" s="6"/>
      <c r="I321" s="6"/>
      <c r="J321" s="6"/>
      <c r="K321" s="6"/>
      <c r="L321" s="6"/>
      <c r="M321" s="93"/>
      <c r="O321"/>
    </row>
    <row r="322" spans="1:80" s="2" customFormat="1" x14ac:dyDescent="0.55000000000000004">
      <c r="A322" s="2" t="s">
        <v>887</v>
      </c>
      <c r="B322" s="13" t="s">
        <v>799</v>
      </c>
      <c r="C322" s="7"/>
      <c r="D322" s="6"/>
      <c r="E322" s="6"/>
      <c r="F322" s="6"/>
      <c r="G322" s="6"/>
      <c r="H322" s="6"/>
      <c r="I322" s="6"/>
      <c r="J322" s="6"/>
      <c r="K322" s="6"/>
      <c r="L322" s="6"/>
      <c r="M322" s="93"/>
    </row>
    <row r="323" spans="1:80" s="2" customFormat="1" x14ac:dyDescent="0.55000000000000004">
      <c r="A323" s="30"/>
      <c r="B323" s="13" t="s">
        <v>800</v>
      </c>
      <c r="C323" s="7"/>
      <c r="D323" s="6"/>
      <c r="E323" s="6"/>
      <c r="F323" s="6"/>
      <c r="G323" s="6"/>
      <c r="H323" s="6"/>
      <c r="I323" s="6"/>
      <c r="J323" s="6"/>
      <c r="K323" s="6"/>
      <c r="L323" s="6"/>
      <c r="M323" s="93"/>
    </row>
    <row r="324" spans="1:80" x14ac:dyDescent="0.55000000000000004">
      <c r="B324" s="13" t="s">
        <v>808</v>
      </c>
      <c r="C324" s="7"/>
      <c r="D324" s="6"/>
      <c r="E324" s="6"/>
      <c r="F324" s="6"/>
      <c r="G324" s="6"/>
      <c r="H324" s="6"/>
      <c r="I324" s="6"/>
      <c r="J324" s="6"/>
      <c r="K324" s="6"/>
      <c r="L324" s="6"/>
      <c r="M324" s="93"/>
      <c r="N324" s="2"/>
    </row>
    <row r="325" spans="1:80" x14ac:dyDescent="0.55000000000000004">
      <c r="B325" s="13" t="s">
        <v>802</v>
      </c>
      <c r="C325" s="7"/>
      <c r="D325" s="6"/>
      <c r="E325" s="6"/>
      <c r="F325" s="6"/>
      <c r="G325" s="6"/>
      <c r="H325" s="6"/>
      <c r="I325" s="6"/>
      <c r="J325" s="6"/>
      <c r="K325" s="6"/>
      <c r="L325" s="6"/>
      <c r="M325" s="93"/>
      <c r="N325" s="2"/>
      <c r="P325" s="93"/>
    </row>
    <row r="326" spans="1:80" x14ac:dyDescent="0.55000000000000004">
      <c r="B326" s="13" t="s">
        <v>801</v>
      </c>
      <c r="C326" s="7"/>
      <c r="D326" s="6"/>
      <c r="E326" s="6"/>
      <c r="F326" s="6"/>
      <c r="G326" s="6"/>
      <c r="H326" s="6"/>
      <c r="I326" s="6"/>
      <c r="J326" s="6"/>
      <c r="K326" s="6"/>
      <c r="L326" s="6"/>
      <c r="M326" s="93"/>
      <c r="N326" s="2"/>
    </row>
    <row r="327" spans="1:80" x14ac:dyDescent="0.55000000000000004">
      <c r="B327" s="21"/>
      <c r="C327" s="6" t="s">
        <v>394</v>
      </c>
      <c r="D327" s="6"/>
      <c r="E327" s="6"/>
      <c r="F327" s="6"/>
      <c r="G327" s="6"/>
      <c r="H327" s="6"/>
      <c r="I327" s="6"/>
      <c r="J327" s="6"/>
      <c r="K327" s="6"/>
      <c r="L327" s="6"/>
      <c r="M327" s="93"/>
      <c r="N327" s="2"/>
    </row>
    <row r="328" spans="1:80" x14ac:dyDescent="0.55000000000000004">
      <c r="A328" s="2" t="s">
        <v>319</v>
      </c>
      <c r="B328" s="74" t="s">
        <v>179</v>
      </c>
      <c r="C328" s="6" t="s">
        <v>906</v>
      </c>
      <c r="D328" s="6"/>
      <c r="E328" s="6"/>
      <c r="F328" s="6"/>
      <c r="G328" s="6"/>
      <c r="H328" s="6"/>
      <c r="I328" s="6"/>
      <c r="J328" s="6"/>
      <c r="K328" s="6"/>
      <c r="L328" s="6"/>
      <c r="M328" s="93"/>
      <c r="N328" s="2"/>
      <c r="P328" s="2"/>
      <c r="Q328" s="2"/>
      <c r="R328" s="2"/>
      <c r="S328" s="2"/>
      <c r="T328" s="2"/>
    </row>
    <row r="329" spans="1:80" x14ac:dyDescent="0.55000000000000004">
      <c r="A329" s="2" t="s">
        <v>320</v>
      </c>
      <c r="B329" s="15" t="s">
        <v>797</v>
      </c>
      <c r="C329" s="7" t="s">
        <v>2</v>
      </c>
      <c r="D329" s="6"/>
      <c r="E329" s="6"/>
      <c r="F329" s="6"/>
      <c r="G329" s="6"/>
      <c r="H329" s="6"/>
      <c r="I329" s="6"/>
      <c r="J329" s="6"/>
      <c r="K329" s="6"/>
      <c r="L329" s="6"/>
      <c r="M329" s="93"/>
      <c r="N329" s="2"/>
      <c r="P329" s="2"/>
      <c r="Q329" s="2"/>
      <c r="R329" s="2"/>
      <c r="S329" s="2"/>
      <c r="T329" s="2"/>
    </row>
    <row r="330" spans="1:80" x14ac:dyDescent="0.55000000000000004">
      <c r="B330" s="13" t="s">
        <v>349</v>
      </c>
      <c r="C330" s="7">
        <v>1</v>
      </c>
      <c r="D330" s="6"/>
      <c r="E330" s="6"/>
      <c r="F330" s="6"/>
      <c r="G330" s="6"/>
      <c r="H330" s="6"/>
      <c r="I330" s="6"/>
      <c r="J330" s="6"/>
      <c r="K330" s="6"/>
      <c r="L330" s="6"/>
      <c r="M330" s="93"/>
      <c r="N330" s="2"/>
      <c r="O330" s="2"/>
      <c r="P330" s="2"/>
      <c r="Q330" s="2"/>
      <c r="R330" s="2"/>
      <c r="S330" s="2"/>
      <c r="T330" s="2"/>
    </row>
    <row r="331" spans="1:80" x14ac:dyDescent="0.55000000000000004">
      <c r="B331" s="13" t="s">
        <v>350</v>
      </c>
      <c r="C331" s="7">
        <v>75</v>
      </c>
      <c r="D331" s="6"/>
      <c r="E331" s="6"/>
      <c r="F331" s="6"/>
      <c r="G331" s="6"/>
      <c r="H331" s="6"/>
      <c r="I331" s="6"/>
      <c r="J331" s="6"/>
      <c r="K331" s="6"/>
      <c r="L331" s="6"/>
      <c r="M331" s="93"/>
      <c r="N331" s="2"/>
      <c r="O331" s="2"/>
      <c r="P331" s="2"/>
      <c r="Q331" s="2"/>
      <c r="R331" s="2"/>
      <c r="S331" s="2"/>
      <c r="T331" s="2"/>
    </row>
    <row r="332" spans="1:80" x14ac:dyDescent="0.55000000000000004">
      <c r="B332" s="13" t="s">
        <v>809</v>
      </c>
      <c r="C332" s="7">
        <v>0.5</v>
      </c>
      <c r="D332" s="6"/>
      <c r="E332" s="6"/>
      <c r="F332" s="6"/>
      <c r="G332" s="6"/>
      <c r="H332" s="6"/>
      <c r="I332" s="6"/>
      <c r="J332" s="6"/>
      <c r="K332" s="6"/>
      <c r="L332" s="6"/>
      <c r="M332" s="93"/>
      <c r="N332" s="2"/>
      <c r="O332" s="2"/>
      <c r="P332" s="2"/>
      <c r="Q332" s="2"/>
      <c r="R332" s="2"/>
      <c r="S332" s="2"/>
      <c r="T332" s="2"/>
    </row>
    <row r="333" spans="1:80" x14ac:dyDescent="0.55000000000000004">
      <c r="B333" s="13" t="s">
        <v>351</v>
      </c>
      <c r="C333" s="7">
        <v>1</v>
      </c>
      <c r="D333" s="6"/>
      <c r="E333" s="6"/>
      <c r="F333" s="6"/>
      <c r="G333" s="6"/>
      <c r="H333" s="6"/>
      <c r="I333" s="6"/>
      <c r="J333" s="6"/>
      <c r="K333" s="6"/>
      <c r="L333" s="6"/>
      <c r="M333" s="96"/>
      <c r="N333" s="2"/>
      <c r="O333" s="2"/>
      <c r="P333" s="2"/>
      <c r="Q333" s="2"/>
      <c r="R333" s="2"/>
      <c r="S333" s="2"/>
      <c r="T333" s="2"/>
    </row>
    <row r="334" spans="1:80" x14ac:dyDescent="0.55000000000000004">
      <c r="B334" s="13" t="s">
        <v>810</v>
      </c>
      <c r="C334" s="7">
        <v>2</v>
      </c>
      <c r="D334" s="7">
        <v>3</v>
      </c>
      <c r="E334" s="7">
        <v>4</v>
      </c>
      <c r="F334" s="7">
        <v>5</v>
      </c>
      <c r="G334" s="7">
        <v>6</v>
      </c>
      <c r="H334" s="7">
        <v>7</v>
      </c>
      <c r="I334" s="7">
        <v>8</v>
      </c>
      <c r="J334" s="7">
        <v>9</v>
      </c>
      <c r="K334" s="7">
        <v>10</v>
      </c>
      <c r="L334" s="7">
        <v>11</v>
      </c>
      <c r="M334" s="7">
        <v>12</v>
      </c>
      <c r="N334" s="7">
        <v>13</v>
      </c>
      <c r="O334" s="7">
        <v>14</v>
      </c>
      <c r="P334" s="7">
        <v>15</v>
      </c>
      <c r="Q334" s="7">
        <v>16</v>
      </c>
      <c r="R334" s="7">
        <v>17</v>
      </c>
      <c r="S334" s="7">
        <v>18</v>
      </c>
      <c r="T334" s="7">
        <v>19</v>
      </c>
      <c r="U334" s="7">
        <v>20</v>
      </c>
      <c r="V334" s="7">
        <v>21</v>
      </c>
      <c r="W334" s="7">
        <v>22</v>
      </c>
      <c r="X334" s="7">
        <v>23</v>
      </c>
      <c r="Y334" s="7">
        <v>24</v>
      </c>
      <c r="Z334" s="7">
        <v>25</v>
      </c>
      <c r="AA334" s="7">
        <v>26</v>
      </c>
      <c r="AB334" s="7">
        <v>27</v>
      </c>
      <c r="AC334" s="7">
        <v>28</v>
      </c>
      <c r="AD334" s="7">
        <v>29</v>
      </c>
      <c r="AE334" s="7">
        <v>30</v>
      </c>
      <c r="AF334" s="7">
        <v>31</v>
      </c>
      <c r="AG334" s="7">
        <v>32</v>
      </c>
      <c r="AH334" s="7">
        <v>33</v>
      </c>
      <c r="AI334" s="7">
        <v>34</v>
      </c>
      <c r="AJ334" s="7">
        <v>35</v>
      </c>
      <c r="AK334" s="7">
        <v>36</v>
      </c>
      <c r="AL334" s="7">
        <v>37</v>
      </c>
      <c r="AM334" s="7">
        <v>38</v>
      </c>
      <c r="AN334" s="7">
        <v>39</v>
      </c>
      <c r="AO334" s="7">
        <v>40</v>
      </c>
      <c r="AP334" s="7">
        <v>41</v>
      </c>
      <c r="AQ334" s="7">
        <v>42</v>
      </c>
      <c r="AR334" s="7">
        <v>43</v>
      </c>
      <c r="AS334" s="7">
        <v>44</v>
      </c>
      <c r="AT334" s="7">
        <v>45</v>
      </c>
      <c r="AU334" s="7">
        <v>46</v>
      </c>
      <c r="AV334" s="7">
        <v>47</v>
      </c>
      <c r="AW334" s="7">
        <v>48</v>
      </c>
      <c r="AX334" s="7">
        <v>49</v>
      </c>
      <c r="AY334" s="7">
        <v>50</v>
      </c>
      <c r="AZ334" s="7">
        <v>51</v>
      </c>
      <c r="BA334" s="7">
        <v>52</v>
      </c>
      <c r="BB334" s="7">
        <v>53</v>
      </c>
      <c r="BC334" s="7">
        <v>54</v>
      </c>
      <c r="BD334" s="7">
        <v>55</v>
      </c>
      <c r="BE334" s="7">
        <v>56</v>
      </c>
      <c r="BF334" s="7">
        <v>57</v>
      </c>
      <c r="BG334" s="7">
        <v>58</v>
      </c>
      <c r="BH334" s="7">
        <v>59</v>
      </c>
      <c r="BI334" s="7">
        <v>60</v>
      </c>
      <c r="BJ334" s="7">
        <v>61</v>
      </c>
      <c r="BK334" s="7">
        <v>62</v>
      </c>
      <c r="BL334" s="7">
        <v>63</v>
      </c>
      <c r="BM334" s="7">
        <v>64</v>
      </c>
      <c r="BN334" s="7">
        <v>65</v>
      </c>
      <c r="BO334" s="7">
        <v>66</v>
      </c>
      <c r="BP334" s="7">
        <v>67</v>
      </c>
      <c r="BQ334" s="7">
        <v>68</v>
      </c>
      <c r="BR334" s="7">
        <v>69</v>
      </c>
      <c r="BS334" s="7">
        <v>70</v>
      </c>
      <c r="BT334" s="7">
        <v>71</v>
      </c>
      <c r="BU334" s="7">
        <v>72</v>
      </c>
      <c r="BV334" s="7">
        <v>73</v>
      </c>
      <c r="BW334" s="7">
        <v>74</v>
      </c>
      <c r="BX334" s="7">
        <v>75</v>
      </c>
      <c r="BY334" s="7">
        <v>76</v>
      </c>
      <c r="BZ334" s="93"/>
      <c r="CA334" s="11"/>
      <c r="CB334" s="11"/>
    </row>
    <row r="335" spans="1:80" x14ac:dyDescent="0.55000000000000004">
      <c r="B335" s="21"/>
      <c r="C335" s="6" t="s">
        <v>394</v>
      </c>
      <c r="D335" s="6"/>
      <c r="E335" s="6"/>
      <c r="F335" s="6"/>
      <c r="G335" s="6"/>
      <c r="H335" s="6"/>
      <c r="I335" s="6"/>
      <c r="J335" s="6"/>
      <c r="K335" s="6"/>
      <c r="L335" s="6"/>
      <c r="M335" s="93"/>
      <c r="N335" s="2"/>
      <c r="O335" s="2"/>
      <c r="P335" s="2"/>
      <c r="Q335" s="2"/>
      <c r="R335" s="2"/>
      <c r="S335" s="2"/>
      <c r="T335" s="2"/>
      <c r="AA335" s="11"/>
      <c r="AB335" s="11"/>
      <c r="AC335" s="11"/>
      <c r="AD335" s="11"/>
      <c r="AE335" s="11"/>
      <c r="AF335" s="11"/>
      <c r="AG335" s="11"/>
      <c r="AH335" s="11"/>
      <c r="AI335" s="11"/>
      <c r="AJ335" s="11"/>
      <c r="AK335" s="11"/>
      <c r="AL335" s="11"/>
      <c r="AM335" s="11"/>
      <c r="AN335" s="11"/>
      <c r="AO335" s="11"/>
      <c r="AP335" s="11"/>
      <c r="AQ335" s="11"/>
      <c r="AR335" s="11"/>
      <c r="AS335" s="11"/>
      <c r="AT335" s="11"/>
      <c r="AU335" s="11"/>
    </row>
    <row r="336" spans="1:80" x14ac:dyDescent="0.55000000000000004">
      <c r="A336" s="30" t="s">
        <v>1228</v>
      </c>
      <c r="B336" s="74" t="s">
        <v>1230</v>
      </c>
      <c r="C336" s="6" t="s">
        <v>907</v>
      </c>
      <c r="D336" s="6"/>
      <c r="E336" s="6"/>
      <c r="F336" s="6"/>
      <c r="G336" s="6"/>
      <c r="H336" s="6"/>
      <c r="I336" s="6"/>
      <c r="J336" s="6"/>
      <c r="K336" s="6"/>
      <c r="L336" s="6"/>
      <c r="M336" s="93"/>
      <c r="AA336" s="11"/>
      <c r="AB336" s="11"/>
      <c r="AC336" s="11"/>
      <c r="AD336" s="11"/>
      <c r="AE336" s="11"/>
      <c r="AF336" s="11"/>
      <c r="AG336" s="11"/>
      <c r="AH336" s="11"/>
      <c r="AI336" s="11"/>
      <c r="AJ336" s="11"/>
      <c r="AK336" s="11"/>
      <c r="AL336" s="11"/>
      <c r="AM336" s="11"/>
      <c r="AN336" s="11"/>
      <c r="AO336" s="11"/>
      <c r="AP336" s="11"/>
      <c r="AQ336" s="11"/>
      <c r="AR336" s="11"/>
      <c r="AS336" s="11"/>
      <c r="AT336" s="11"/>
      <c r="AU336" s="11"/>
    </row>
    <row r="337" spans="1:47" x14ac:dyDescent="0.55000000000000004">
      <c r="A337" s="30" t="s">
        <v>1229</v>
      </c>
      <c r="B337" s="13" t="s">
        <v>796</v>
      </c>
      <c r="C337" s="7" t="s">
        <v>17</v>
      </c>
      <c r="D337" s="6"/>
      <c r="E337" s="6"/>
      <c r="F337" s="6"/>
      <c r="G337" s="6"/>
      <c r="H337" s="6"/>
      <c r="I337" s="6"/>
      <c r="J337" s="6"/>
      <c r="K337" s="6"/>
      <c r="L337" s="6"/>
      <c r="M337" s="93"/>
      <c r="AA337" s="11"/>
      <c r="AB337" s="11"/>
      <c r="AC337" s="11"/>
      <c r="AD337" s="11"/>
      <c r="AE337" s="11"/>
      <c r="AF337" s="11"/>
      <c r="AG337" s="11"/>
      <c r="AH337" s="35"/>
      <c r="AI337" s="11"/>
      <c r="AJ337" s="11"/>
      <c r="AK337" s="11"/>
      <c r="AL337" s="11"/>
      <c r="AM337" s="11"/>
      <c r="AN337" s="11"/>
      <c r="AO337" s="11"/>
      <c r="AP337" s="11"/>
      <c r="AQ337" s="11"/>
      <c r="AR337" s="11"/>
      <c r="AS337" s="11"/>
      <c r="AT337" s="11"/>
      <c r="AU337" s="11"/>
    </row>
    <row r="338" spans="1:47" x14ac:dyDescent="0.55000000000000004">
      <c r="B338" s="13" t="s">
        <v>352</v>
      </c>
      <c r="C338" s="7">
        <v>1</v>
      </c>
      <c r="D338" s="6"/>
      <c r="E338" s="6"/>
      <c r="F338" s="6"/>
      <c r="G338" s="6"/>
      <c r="H338" s="6"/>
      <c r="I338" s="6"/>
      <c r="J338" s="6"/>
      <c r="K338" s="6"/>
      <c r="L338" s="6"/>
      <c r="M338" s="93"/>
      <c r="N338" s="2"/>
      <c r="O338" s="2"/>
      <c r="P338" s="2"/>
      <c r="Q338" s="2"/>
      <c r="R338" s="2"/>
      <c r="S338" s="2"/>
      <c r="T338" s="2"/>
      <c r="U338" s="2"/>
      <c r="V338" s="2"/>
      <c r="W338" s="2"/>
      <c r="X338" s="2"/>
      <c r="Y338" s="2"/>
      <c r="Z338" s="2"/>
      <c r="AA338" s="11"/>
      <c r="AB338" s="11"/>
      <c r="AC338" s="11"/>
      <c r="AD338" s="11"/>
      <c r="AE338" s="11"/>
      <c r="AF338" s="11"/>
      <c r="AG338" s="11"/>
      <c r="AH338" s="11"/>
      <c r="AI338" s="11"/>
      <c r="AJ338" s="11"/>
      <c r="AK338" s="11"/>
      <c r="AL338" s="11"/>
      <c r="AM338" s="11"/>
      <c r="AN338" s="11"/>
      <c r="AO338" s="11"/>
      <c r="AP338" s="11"/>
      <c r="AQ338" s="11"/>
      <c r="AR338" s="11"/>
      <c r="AS338" s="11"/>
      <c r="AT338" s="11"/>
      <c r="AU338" s="11"/>
    </row>
    <row r="339" spans="1:47" x14ac:dyDescent="0.55000000000000004">
      <c r="B339" s="13" t="s">
        <v>811</v>
      </c>
      <c r="C339" s="7">
        <v>1</v>
      </c>
      <c r="D339" s="6"/>
      <c r="E339" s="6"/>
      <c r="F339" s="6"/>
      <c r="G339" s="6"/>
      <c r="H339" s="6"/>
      <c r="I339" s="6"/>
      <c r="J339" s="6"/>
      <c r="K339" s="6"/>
      <c r="L339" s="6"/>
      <c r="M339" s="93"/>
      <c r="N339" s="2"/>
      <c r="O339" s="2"/>
      <c r="P339" s="2"/>
      <c r="Q339" s="2"/>
      <c r="R339" s="2"/>
      <c r="S339" s="2"/>
      <c r="T339" s="2"/>
      <c r="U339" s="2"/>
      <c r="V339" s="2"/>
      <c r="W339" s="2"/>
      <c r="X339" s="2"/>
      <c r="Y339" s="2"/>
      <c r="Z339" s="2"/>
      <c r="AA339" s="11"/>
      <c r="AB339" s="11"/>
      <c r="AC339" s="11"/>
      <c r="AD339" s="11"/>
      <c r="AE339" s="11"/>
      <c r="AF339" s="11"/>
      <c r="AG339" s="11"/>
      <c r="AH339" s="11"/>
      <c r="AI339" s="11"/>
      <c r="AJ339" s="11"/>
      <c r="AK339" s="11"/>
      <c r="AL339" s="11"/>
      <c r="AM339" s="11"/>
      <c r="AN339" s="11"/>
      <c r="AO339" s="11"/>
      <c r="AP339" s="11"/>
      <c r="AQ339" s="11"/>
      <c r="AR339" s="11"/>
      <c r="AS339" s="11"/>
      <c r="AT339" s="11"/>
      <c r="AU339" s="11"/>
    </row>
    <row r="340" spans="1:47" x14ac:dyDescent="0.55000000000000004">
      <c r="B340" s="13" t="s">
        <v>353</v>
      </c>
      <c r="C340" s="7">
        <v>1</v>
      </c>
      <c r="D340" s="6"/>
      <c r="E340" s="6"/>
      <c r="F340" s="6"/>
      <c r="G340" s="6"/>
      <c r="H340" s="6"/>
      <c r="I340" s="6"/>
      <c r="J340" s="6"/>
      <c r="K340" s="6"/>
      <c r="L340" s="6"/>
      <c r="M340" s="93"/>
      <c r="N340" s="2"/>
      <c r="O340" s="2"/>
      <c r="P340" s="2"/>
      <c r="Q340" s="2"/>
      <c r="R340" s="2"/>
      <c r="S340" s="2"/>
      <c r="T340" s="2"/>
      <c r="U340" s="2"/>
      <c r="V340" s="2"/>
      <c r="W340" s="2"/>
      <c r="X340" s="2"/>
      <c r="Y340" s="2"/>
      <c r="Z340" s="2"/>
      <c r="AA340" s="11"/>
      <c r="AB340" s="11"/>
      <c r="AC340" s="11"/>
      <c r="AD340" s="11"/>
      <c r="AE340" s="11"/>
      <c r="AF340" s="11"/>
      <c r="AG340" s="11"/>
      <c r="AH340" s="11"/>
      <c r="AI340" s="11"/>
      <c r="AJ340" s="11"/>
      <c r="AK340" s="11"/>
      <c r="AL340" s="11"/>
      <c r="AM340" s="11"/>
      <c r="AN340" s="11"/>
      <c r="AO340" s="11"/>
      <c r="AP340" s="11"/>
      <c r="AQ340" s="11"/>
      <c r="AR340" s="11"/>
      <c r="AS340" s="11"/>
      <c r="AT340" s="11"/>
      <c r="AU340" s="11"/>
    </row>
    <row r="341" spans="1:47" x14ac:dyDescent="0.55000000000000004">
      <c r="B341" s="21"/>
      <c r="C341" s="6" t="s">
        <v>394</v>
      </c>
      <c r="D341" s="6"/>
      <c r="E341" s="6"/>
      <c r="F341" s="6"/>
      <c r="G341" s="6"/>
      <c r="H341" s="6"/>
      <c r="I341" s="6"/>
      <c r="J341" s="6"/>
      <c r="K341" s="6"/>
      <c r="L341" s="6"/>
      <c r="M341" s="93"/>
      <c r="N341" s="2"/>
      <c r="O341" s="2"/>
      <c r="P341" s="2"/>
      <c r="Q341" s="2"/>
      <c r="R341" s="2"/>
      <c r="S341" s="2"/>
      <c r="T341" s="2"/>
      <c r="U341" s="2"/>
      <c r="V341" s="2"/>
      <c r="W341" s="2"/>
      <c r="X341" s="2"/>
      <c r="Y341" s="2"/>
      <c r="Z341" s="2"/>
      <c r="AA341" s="11"/>
      <c r="AB341" s="11"/>
      <c r="AC341" s="11"/>
      <c r="AD341" s="11"/>
      <c r="AE341" s="11"/>
      <c r="AF341" s="11"/>
      <c r="AG341" s="11"/>
      <c r="AH341" s="11"/>
      <c r="AI341" s="11"/>
      <c r="AJ341" s="11"/>
      <c r="AK341" s="11"/>
      <c r="AL341" s="11"/>
      <c r="AM341" s="11"/>
      <c r="AN341" s="11"/>
      <c r="AO341" s="11"/>
      <c r="AP341" s="11"/>
      <c r="AQ341" s="11"/>
      <c r="AR341" s="11"/>
      <c r="AS341" s="11"/>
      <c r="AT341" s="11"/>
      <c r="AU341" s="11"/>
    </row>
    <row r="342" spans="1:47" x14ac:dyDescent="0.55000000000000004">
      <c r="A342" s="2" t="s">
        <v>323</v>
      </c>
      <c r="B342" s="74" t="s">
        <v>333</v>
      </c>
      <c r="C342" s="6" t="s">
        <v>908</v>
      </c>
      <c r="D342" s="6"/>
      <c r="E342" s="6"/>
      <c r="F342" s="6"/>
      <c r="G342" s="6"/>
      <c r="H342" s="6"/>
      <c r="I342" s="6"/>
      <c r="J342" s="6"/>
      <c r="K342" s="6"/>
      <c r="L342" s="6"/>
      <c r="M342" s="93"/>
      <c r="N342" s="2"/>
      <c r="P342" s="2"/>
      <c r="Q342" s="2"/>
      <c r="R342" s="2"/>
      <c r="S342" s="2"/>
      <c r="T342" s="2"/>
      <c r="U342" s="2"/>
      <c r="V342" s="2"/>
      <c r="W342" s="2"/>
      <c r="X342" s="2"/>
      <c r="Y342" s="2"/>
      <c r="Z342" s="2"/>
      <c r="AA342" s="11"/>
      <c r="AB342" s="11"/>
      <c r="AC342" s="11"/>
      <c r="AD342" s="11"/>
      <c r="AE342" s="11"/>
      <c r="AF342" s="11"/>
      <c r="AG342" s="11"/>
      <c r="AH342" s="11"/>
      <c r="AI342" s="11"/>
      <c r="AJ342" s="11"/>
      <c r="AK342" s="11"/>
      <c r="AL342" s="11"/>
      <c r="AM342" s="11"/>
      <c r="AN342" s="11"/>
      <c r="AO342" s="11"/>
      <c r="AP342" s="11"/>
      <c r="AQ342" s="11"/>
      <c r="AR342" s="11"/>
      <c r="AS342" s="11"/>
      <c r="AT342" s="11"/>
      <c r="AU342" s="11"/>
    </row>
    <row r="343" spans="1:47" x14ac:dyDescent="0.55000000000000004">
      <c r="A343" s="2" t="s">
        <v>320</v>
      </c>
      <c r="B343" s="13" t="s">
        <v>790</v>
      </c>
      <c r="C343" s="7" t="s">
        <v>17</v>
      </c>
      <c r="D343" s="6"/>
      <c r="E343" s="6"/>
      <c r="F343" s="6"/>
      <c r="G343" s="6"/>
      <c r="H343" s="6"/>
      <c r="I343" s="6"/>
      <c r="J343" s="6"/>
      <c r="K343" s="6"/>
      <c r="L343" s="6"/>
      <c r="M343" s="93"/>
      <c r="N343" s="2"/>
      <c r="P343" s="2"/>
      <c r="Q343" s="2"/>
      <c r="R343" s="2"/>
      <c r="S343" s="2"/>
      <c r="T343" s="2"/>
      <c r="U343" s="2"/>
      <c r="V343" s="2"/>
      <c r="W343" s="2"/>
      <c r="X343" s="2"/>
      <c r="Y343" s="2"/>
      <c r="Z343" s="2"/>
      <c r="AA343" s="11"/>
      <c r="AB343" s="11"/>
      <c r="AC343" s="11"/>
      <c r="AD343" s="11"/>
      <c r="AE343" s="11"/>
      <c r="AF343" s="11"/>
      <c r="AG343" s="11"/>
      <c r="AH343" s="11"/>
      <c r="AI343" s="11"/>
      <c r="AJ343" s="11"/>
      <c r="AK343" s="11"/>
      <c r="AL343" s="11"/>
      <c r="AM343" s="11"/>
      <c r="AN343" s="11"/>
      <c r="AO343" s="11"/>
      <c r="AP343" s="11"/>
      <c r="AQ343" s="11"/>
      <c r="AR343" s="11"/>
      <c r="AS343" s="11"/>
      <c r="AT343" s="11"/>
      <c r="AU343" s="11"/>
    </row>
    <row r="344" spans="1:47" x14ac:dyDescent="0.55000000000000004">
      <c r="B344" s="13" t="s">
        <v>791</v>
      </c>
      <c r="C344" s="7">
        <v>1</v>
      </c>
      <c r="D344" s="6"/>
      <c r="E344" s="6"/>
      <c r="F344" s="6"/>
      <c r="G344" s="6"/>
      <c r="H344" s="6"/>
      <c r="I344" s="6"/>
      <c r="J344" s="6"/>
      <c r="K344" s="6"/>
      <c r="L344" s="6"/>
      <c r="M344" s="93"/>
      <c r="N344" s="2"/>
      <c r="O344" s="2"/>
      <c r="P344" s="2"/>
      <c r="Q344" s="2"/>
      <c r="R344" s="2"/>
      <c r="S344" s="2"/>
      <c r="T344" s="2"/>
      <c r="U344" s="2"/>
      <c r="V344" s="2"/>
      <c r="W344" s="2"/>
      <c r="X344" s="2"/>
      <c r="Y344" s="2"/>
      <c r="Z344" s="2"/>
      <c r="AA344" s="11"/>
      <c r="AB344" s="11"/>
      <c r="AC344" s="11"/>
      <c r="AD344" s="11"/>
      <c r="AE344" s="11"/>
      <c r="AF344" s="11"/>
      <c r="AG344" s="11"/>
      <c r="AH344" s="11"/>
      <c r="AI344" s="11"/>
      <c r="AJ344" s="11"/>
      <c r="AK344" s="11"/>
      <c r="AL344" s="11"/>
      <c r="AM344" s="11"/>
      <c r="AN344" s="11"/>
      <c r="AO344" s="11"/>
      <c r="AP344" s="11"/>
      <c r="AQ344" s="11"/>
      <c r="AR344" s="11"/>
      <c r="AS344" s="11"/>
      <c r="AT344" s="11"/>
      <c r="AU344" s="11"/>
    </row>
    <row r="345" spans="1:47" x14ac:dyDescent="0.55000000000000004">
      <c r="A345" s="34"/>
      <c r="B345" s="13" t="s">
        <v>792</v>
      </c>
      <c r="C345" s="7" t="s">
        <v>17</v>
      </c>
      <c r="D345" s="6"/>
      <c r="E345" s="6"/>
      <c r="F345" s="6"/>
      <c r="G345" s="6"/>
      <c r="H345" s="6"/>
      <c r="I345" s="6"/>
      <c r="J345" s="6"/>
      <c r="K345" s="6"/>
      <c r="L345" s="6"/>
      <c r="M345" s="93"/>
      <c r="N345" s="2"/>
      <c r="O345" s="2"/>
      <c r="P345" s="2"/>
      <c r="Q345" s="2"/>
      <c r="R345" s="2"/>
      <c r="S345" s="2"/>
      <c r="T345" s="2"/>
      <c r="U345" s="2"/>
      <c r="V345" s="2"/>
      <c r="W345" s="2"/>
      <c r="X345" s="2"/>
      <c r="Y345" s="2"/>
      <c r="Z345" s="2"/>
      <c r="AA345" s="11"/>
      <c r="AB345" s="11"/>
      <c r="AC345" s="11"/>
      <c r="AD345" s="11"/>
      <c r="AE345" s="11"/>
      <c r="AF345" s="11"/>
      <c r="AG345" s="11"/>
      <c r="AH345" s="11"/>
      <c r="AI345" s="11"/>
      <c r="AJ345" s="11"/>
      <c r="AK345" s="11"/>
      <c r="AL345" s="11"/>
      <c r="AM345" s="11"/>
      <c r="AN345" s="11"/>
      <c r="AO345" s="11"/>
      <c r="AP345" s="11"/>
      <c r="AQ345" s="11"/>
      <c r="AR345" s="11"/>
      <c r="AS345" s="11"/>
      <c r="AT345" s="11"/>
      <c r="AU345" s="11"/>
    </row>
    <row r="346" spans="1:47" x14ac:dyDescent="0.55000000000000004">
      <c r="A346" s="34"/>
      <c r="B346" s="13" t="s">
        <v>793</v>
      </c>
      <c r="C346" s="7">
        <v>1</v>
      </c>
      <c r="D346" s="6"/>
      <c r="E346" s="6"/>
      <c r="F346" s="6"/>
      <c r="G346" s="6"/>
      <c r="H346" s="6"/>
      <c r="I346" s="6"/>
      <c r="J346" s="6"/>
      <c r="K346" s="6"/>
      <c r="L346" s="6"/>
      <c r="M346" s="93"/>
      <c r="N346" s="2"/>
      <c r="O346" s="2"/>
      <c r="P346" s="2"/>
      <c r="Q346" s="2"/>
      <c r="R346" s="2"/>
      <c r="S346" s="2"/>
      <c r="T346" s="2"/>
      <c r="U346" s="2"/>
      <c r="V346" s="2"/>
      <c r="W346" s="2"/>
      <c r="X346" s="2"/>
      <c r="Y346" s="2"/>
      <c r="Z346" s="2"/>
      <c r="AA346" s="11"/>
      <c r="AB346" s="11"/>
      <c r="AC346" s="11"/>
      <c r="AD346" s="11"/>
      <c r="AE346" s="11"/>
      <c r="AF346" s="11"/>
      <c r="AG346" s="11"/>
      <c r="AH346" s="11"/>
      <c r="AI346" s="11"/>
      <c r="AJ346" s="11"/>
      <c r="AK346" s="11"/>
      <c r="AL346" s="11"/>
      <c r="AM346" s="11"/>
      <c r="AN346" s="11"/>
      <c r="AO346" s="11"/>
      <c r="AP346" s="11"/>
      <c r="AQ346" s="11"/>
      <c r="AR346" s="11"/>
      <c r="AS346" s="11"/>
      <c r="AT346" s="11"/>
      <c r="AU346" s="11"/>
    </row>
    <row r="347" spans="1:47" x14ac:dyDescent="0.55000000000000004">
      <c r="A347" s="34"/>
      <c r="B347" s="13" t="s">
        <v>354</v>
      </c>
      <c r="C347" s="7">
        <v>1</v>
      </c>
      <c r="D347" s="6"/>
      <c r="E347" s="6"/>
      <c r="F347" s="6"/>
      <c r="G347" s="6"/>
      <c r="H347" s="6"/>
      <c r="I347" s="6"/>
      <c r="J347" s="6"/>
      <c r="K347" s="6"/>
      <c r="L347" s="6"/>
      <c r="M347" s="93"/>
      <c r="N347" s="2"/>
      <c r="O347" s="2"/>
      <c r="P347" s="2"/>
      <c r="Q347" s="2"/>
      <c r="R347" s="2"/>
      <c r="S347" s="2"/>
      <c r="T347" s="2"/>
      <c r="U347" s="2"/>
      <c r="V347" s="2"/>
      <c r="W347" s="2"/>
      <c r="X347" s="2"/>
      <c r="Y347" s="2"/>
      <c r="Z347" s="2"/>
      <c r="AA347" s="11"/>
      <c r="AB347" s="11"/>
      <c r="AC347" s="11"/>
      <c r="AD347" s="11"/>
      <c r="AE347" s="11"/>
      <c r="AF347" s="11"/>
      <c r="AG347" s="11"/>
      <c r="AH347" s="11"/>
      <c r="AI347" s="11"/>
      <c r="AJ347" s="11"/>
      <c r="AK347" s="11"/>
      <c r="AL347" s="11"/>
      <c r="AM347" s="11"/>
      <c r="AN347" s="11"/>
      <c r="AO347" s="11"/>
      <c r="AP347" s="11"/>
      <c r="AQ347" s="11"/>
      <c r="AR347" s="11"/>
      <c r="AS347" s="11"/>
      <c r="AT347" s="11"/>
      <c r="AU347" s="11"/>
    </row>
    <row r="348" spans="1:47" x14ac:dyDescent="0.55000000000000004">
      <c r="A348" s="34"/>
      <c r="B348" s="21"/>
      <c r="C348" s="6" t="s">
        <v>394</v>
      </c>
      <c r="D348" s="6"/>
      <c r="E348" s="6"/>
      <c r="F348" s="6"/>
      <c r="G348" s="6"/>
      <c r="H348" s="6"/>
      <c r="I348" s="6"/>
      <c r="J348" s="6"/>
      <c r="K348" s="6"/>
      <c r="L348" s="6"/>
      <c r="M348" s="93"/>
      <c r="N348" s="2"/>
      <c r="O348" s="2"/>
      <c r="P348" s="2"/>
      <c r="Q348" s="2"/>
      <c r="R348" s="2"/>
      <c r="S348" s="2"/>
      <c r="T348" s="2"/>
      <c r="U348" s="2"/>
      <c r="V348" s="2"/>
      <c r="W348" s="2"/>
      <c r="X348" s="2"/>
      <c r="Y348" s="2"/>
      <c r="Z348" s="2"/>
      <c r="AA348" s="11"/>
      <c r="AB348" s="11"/>
      <c r="AC348" s="11"/>
      <c r="AD348" s="11"/>
      <c r="AE348" s="11"/>
      <c r="AF348" s="11"/>
      <c r="AG348" s="11"/>
      <c r="AH348" s="11"/>
      <c r="AI348" s="11"/>
      <c r="AJ348" s="11"/>
      <c r="AK348" s="11"/>
      <c r="AL348" s="11"/>
      <c r="AM348" s="11"/>
      <c r="AN348" s="11"/>
      <c r="AO348" s="11"/>
      <c r="AP348" s="11"/>
      <c r="AQ348" s="11"/>
      <c r="AR348" s="11"/>
      <c r="AS348" s="11"/>
      <c r="AT348" s="11"/>
      <c r="AU348" s="11"/>
    </row>
    <row r="349" spans="1:47" s="2" customFormat="1" x14ac:dyDescent="0.55000000000000004">
      <c r="A349" s="2" t="s">
        <v>324</v>
      </c>
      <c r="B349" s="74" t="s">
        <v>355</v>
      </c>
      <c r="C349" s="6" t="s">
        <v>909</v>
      </c>
      <c r="D349" s="6"/>
      <c r="E349" s="6"/>
      <c r="F349" s="6"/>
      <c r="G349" s="6"/>
      <c r="H349" s="6"/>
      <c r="I349" s="6"/>
      <c r="J349" s="6"/>
      <c r="K349" s="6"/>
      <c r="L349" s="6"/>
      <c r="M349" s="93"/>
      <c r="AA349" s="11"/>
      <c r="AB349" s="11"/>
      <c r="AC349" s="11"/>
      <c r="AD349" s="11"/>
      <c r="AE349" s="11"/>
      <c r="AF349" s="11"/>
      <c r="AG349" s="11"/>
      <c r="AH349" s="11"/>
      <c r="AI349" s="11"/>
      <c r="AJ349" s="11"/>
      <c r="AK349" s="11"/>
      <c r="AL349" s="11"/>
      <c r="AM349" s="11"/>
      <c r="AN349" s="11"/>
      <c r="AO349" s="11"/>
      <c r="AP349" s="11"/>
      <c r="AQ349" s="11"/>
      <c r="AR349" s="11"/>
      <c r="AS349" s="11"/>
      <c r="AT349" s="11"/>
      <c r="AU349" s="11"/>
    </row>
    <row r="350" spans="1:47" s="2" customFormat="1" x14ac:dyDescent="0.55000000000000004">
      <c r="A350" s="2" t="s">
        <v>320</v>
      </c>
      <c r="B350" s="13" t="s">
        <v>794</v>
      </c>
      <c r="C350" s="7" t="s">
        <v>2</v>
      </c>
      <c r="D350" s="6"/>
      <c r="E350" s="6"/>
      <c r="F350" s="6"/>
      <c r="G350" s="6"/>
      <c r="H350" s="6"/>
      <c r="I350" s="6"/>
      <c r="J350" s="6"/>
      <c r="K350" s="6"/>
      <c r="L350" s="6"/>
      <c r="M350" s="93"/>
      <c r="O350"/>
      <c r="AA350" s="11"/>
      <c r="AB350" s="11"/>
      <c r="AC350" s="11"/>
      <c r="AD350" s="11"/>
      <c r="AE350" s="11"/>
      <c r="AF350" s="11"/>
      <c r="AG350" s="11"/>
      <c r="AH350" s="11"/>
      <c r="AI350" s="11"/>
      <c r="AJ350" s="11"/>
      <c r="AK350" s="11"/>
      <c r="AL350" s="11"/>
      <c r="AM350" s="11"/>
      <c r="AN350" s="11"/>
      <c r="AO350" s="11"/>
      <c r="AP350" s="11"/>
      <c r="AQ350" s="11"/>
      <c r="AR350" s="11"/>
      <c r="AS350" s="11"/>
      <c r="AT350" s="11"/>
      <c r="AU350" s="11"/>
    </row>
    <row r="351" spans="1:47" s="2" customFormat="1" x14ac:dyDescent="0.55000000000000004">
      <c r="A351" s="30"/>
      <c r="B351" s="13" t="s">
        <v>795</v>
      </c>
      <c r="C351" s="7">
        <v>1</v>
      </c>
      <c r="D351" s="6"/>
      <c r="E351" s="6"/>
      <c r="F351" s="6"/>
      <c r="G351" s="6"/>
      <c r="H351" s="6"/>
      <c r="I351" s="6"/>
      <c r="J351" s="6"/>
      <c r="K351" s="6"/>
      <c r="L351" s="6"/>
      <c r="M351" s="93"/>
      <c r="AA351" s="11"/>
      <c r="AB351" s="11"/>
      <c r="AC351" s="11"/>
      <c r="AD351" s="11"/>
      <c r="AE351" s="11"/>
      <c r="AF351" s="11"/>
      <c r="AG351" s="11"/>
      <c r="AH351" s="11"/>
      <c r="AI351" s="11"/>
      <c r="AJ351" s="11"/>
      <c r="AK351" s="11"/>
      <c r="AL351" s="11"/>
      <c r="AM351" s="11"/>
      <c r="AN351" s="11"/>
      <c r="AO351" s="11"/>
      <c r="AP351" s="11"/>
      <c r="AQ351" s="11"/>
      <c r="AR351" s="11"/>
      <c r="AS351" s="11"/>
      <c r="AT351" s="11"/>
      <c r="AU351" s="11"/>
    </row>
    <row r="352" spans="1:47" s="2" customFormat="1" x14ac:dyDescent="0.55000000000000004">
      <c r="A352" s="30"/>
      <c r="B352" s="13" t="s">
        <v>812</v>
      </c>
      <c r="C352" s="7">
        <v>1</v>
      </c>
      <c r="D352" s="6"/>
      <c r="E352" s="6"/>
      <c r="F352" s="6"/>
      <c r="G352" s="6"/>
      <c r="H352" s="6"/>
      <c r="I352" s="6"/>
      <c r="J352" s="6"/>
      <c r="K352" s="6"/>
      <c r="L352" s="6"/>
      <c r="M352" s="93"/>
      <c r="AA352" s="11"/>
      <c r="AB352" s="11"/>
      <c r="AC352" s="11"/>
      <c r="AD352" s="11"/>
      <c r="AE352" s="11"/>
      <c r="AF352" s="11"/>
      <c r="AG352" s="11"/>
      <c r="AH352" s="11"/>
      <c r="AI352" s="11"/>
      <c r="AJ352" s="11"/>
      <c r="AK352" s="11"/>
      <c r="AL352" s="11"/>
      <c r="AM352" s="11"/>
      <c r="AN352" s="11"/>
      <c r="AO352" s="11"/>
      <c r="AP352" s="11"/>
      <c r="AQ352" s="11"/>
      <c r="AR352" s="11"/>
      <c r="AS352" s="11"/>
      <c r="AT352" s="11"/>
      <c r="AU352" s="11"/>
    </row>
    <row r="353" spans="1:47" s="2" customFormat="1" x14ac:dyDescent="0.55000000000000004">
      <c r="A353" s="30"/>
      <c r="B353" s="13" t="s">
        <v>356</v>
      </c>
      <c r="C353" s="7">
        <v>1</v>
      </c>
      <c r="D353" s="6"/>
      <c r="E353" s="6"/>
      <c r="F353" s="6"/>
      <c r="G353" s="6"/>
      <c r="H353" s="6"/>
      <c r="I353" s="6"/>
      <c r="J353" s="6"/>
      <c r="K353" s="6"/>
      <c r="L353" s="6"/>
      <c r="M353" s="93"/>
      <c r="AA353" s="11"/>
      <c r="AB353" s="11"/>
      <c r="AC353" s="11"/>
      <c r="AD353" s="11"/>
      <c r="AE353" s="11"/>
      <c r="AF353" s="11"/>
      <c r="AG353" s="11"/>
      <c r="AH353" s="11"/>
      <c r="AI353" s="11"/>
      <c r="AJ353" s="11"/>
      <c r="AK353" s="11"/>
      <c r="AL353" s="11"/>
      <c r="AM353" s="11"/>
      <c r="AN353" s="11"/>
      <c r="AO353" s="11"/>
      <c r="AP353" s="11"/>
      <c r="AQ353" s="11"/>
      <c r="AR353" s="11"/>
      <c r="AS353" s="11"/>
      <c r="AT353" s="11"/>
      <c r="AU353" s="11"/>
    </row>
    <row r="354" spans="1:47" x14ac:dyDescent="0.55000000000000004">
      <c r="B354" s="21"/>
      <c r="C354" s="6" t="s">
        <v>394</v>
      </c>
      <c r="D354" s="6"/>
      <c r="E354" s="6"/>
      <c r="F354" s="6"/>
      <c r="G354" s="6"/>
      <c r="H354" s="6"/>
      <c r="I354" s="6"/>
      <c r="J354" s="6"/>
      <c r="K354" s="6"/>
      <c r="L354" s="6"/>
      <c r="M354" s="93"/>
      <c r="AA354" s="11"/>
      <c r="AB354" s="11"/>
      <c r="AC354" s="11"/>
      <c r="AD354" s="11"/>
      <c r="AE354" s="11"/>
      <c r="AF354" s="11"/>
      <c r="AG354" s="11"/>
      <c r="AH354" s="11"/>
      <c r="AI354" s="11"/>
      <c r="AJ354" s="11"/>
      <c r="AK354" s="11"/>
      <c r="AL354" s="11"/>
      <c r="AM354" s="11"/>
      <c r="AN354" s="11"/>
      <c r="AO354" s="11"/>
      <c r="AP354" s="11"/>
      <c r="AQ354" s="11"/>
      <c r="AR354" s="11"/>
      <c r="AS354" s="11"/>
      <c r="AT354" s="11"/>
      <c r="AU354" s="11"/>
    </row>
    <row r="355" spans="1:47" x14ac:dyDescent="0.55000000000000004">
      <c r="B355" s="74" t="s">
        <v>357</v>
      </c>
      <c r="C355" s="6" t="s">
        <v>910</v>
      </c>
      <c r="D355" s="6"/>
      <c r="E355" s="6"/>
      <c r="F355" s="6"/>
      <c r="G355" s="6"/>
      <c r="H355" s="6"/>
      <c r="I355" s="6"/>
      <c r="J355" s="6"/>
      <c r="K355" s="6"/>
      <c r="L355" s="6"/>
      <c r="M355" s="93"/>
      <c r="AA355" s="11"/>
      <c r="AB355" s="11"/>
      <c r="AC355" s="11"/>
      <c r="AD355" s="11"/>
      <c r="AE355" s="11"/>
      <c r="AF355" s="11"/>
      <c r="AG355" s="11"/>
      <c r="AH355" s="11"/>
      <c r="AI355" s="11"/>
      <c r="AJ355" s="11"/>
      <c r="AK355" s="11"/>
      <c r="AL355" s="11"/>
      <c r="AM355" s="11"/>
      <c r="AN355" s="11"/>
      <c r="AO355" s="11"/>
      <c r="AP355" s="11"/>
      <c r="AQ355" s="11"/>
      <c r="AR355" s="11"/>
      <c r="AS355" s="11"/>
      <c r="AT355" s="11"/>
      <c r="AU355" s="11"/>
    </row>
    <row r="356" spans="1:47" x14ac:dyDescent="0.55000000000000004">
      <c r="B356" s="13" t="s">
        <v>358</v>
      </c>
      <c r="C356" s="7" t="s">
        <v>940</v>
      </c>
      <c r="D356" s="6"/>
      <c r="E356" s="6"/>
      <c r="F356" s="6"/>
      <c r="G356" s="6"/>
      <c r="H356" s="6"/>
      <c r="I356" s="6"/>
      <c r="J356" s="6"/>
      <c r="K356" s="6"/>
      <c r="L356" s="6"/>
      <c r="M356" s="93"/>
      <c r="AA356" s="11"/>
      <c r="AB356" s="11"/>
      <c r="AC356" s="11"/>
      <c r="AD356" s="11"/>
      <c r="AE356" s="11"/>
      <c r="AF356" s="11"/>
      <c r="AG356" s="11"/>
      <c r="AH356" s="11"/>
      <c r="AI356" s="11"/>
      <c r="AJ356" s="11"/>
      <c r="AK356" s="11"/>
      <c r="AL356" s="11"/>
      <c r="AM356" s="11"/>
      <c r="AN356" s="11"/>
      <c r="AO356" s="11"/>
      <c r="AP356" s="11"/>
      <c r="AQ356" s="11"/>
      <c r="AR356" s="11"/>
      <c r="AS356" s="11"/>
      <c r="AT356" s="11"/>
      <c r="AU356" s="11"/>
    </row>
    <row r="357" spans="1:47" x14ac:dyDescent="0.55000000000000004">
      <c r="B357" s="13" t="s">
        <v>359</v>
      </c>
      <c r="C357" s="7">
        <v>1</v>
      </c>
      <c r="D357" s="6"/>
      <c r="E357" s="6"/>
      <c r="F357" s="6"/>
      <c r="G357" s="6"/>
      <c r="H357" s="6"/>
      <c r="I357" s="6"/>
      <c r="J357" s="6"/>
      <c r="K357" s="6"/>
      <c r="L357" s="6"/>
      <c r="M357" s="93"/>
      <c r="AA357" s="11"/>
      <c r="AB357" s="11"/>
      <c r="AC357" s="11"/>
      <c r="AD357" s="11"/>
      <c r="AE357" s="11"/>
      <c r="AF357" s="11"/>
      <c r="AG357" s="11"/>
      <c r="AH357" s="11"/>
      <c r="AI357" s="11"/>
      <c r="AJ357" s="11"/>
      <c r="AK357" s="11"/>
      <c r="AL357" s="11"/>
      <c r="AM357" s="11"/>
      <c r="AN357" s="11"/>
      <c r="AO357" s="11"/>
      <c r="AP357" s="11"/>
      <c r="AQ357" s="11"/>
      <c r="AR357" s="11"/>
      <c r="AS357" s="11"/>
      <c r="AT357" s="11"/>
      <c r="AU357" s="11"/>
    </row>
    <row r="358" spans="1:47" x14ac:dyDescent="0.55000000000000004">
      <c r="B358" s="13" t="s">
        <v>360</v>
      </c>
      <c r="C358" s="7">
        <v>2</v>
      </c>
      <c r="D358" s="6"/>
      <c r="E358" s="6"/>
      <c r="F358" s="6"/>
      <c r="G358" s="6"/>
      <c r="H358" s="6"/>
      <c r="I358" s="6"/>
      <c r="J358" s="6"/>
      <c r="K358" s="6"/>
      <c r="L358" s="6"/>
      <c r="M358" s="93"/>
      <c r="AA358" s="11"/>
      <c r="AB358" s="11"/>
      <c r="AC358" s="11"/>
      <c r="AD358" s="11"/>
      <c r="AE358" s="11"/>
      <c r="AF358" s="11"/>
      <c r="AG358" s="11"/>
      <c r="AH358" s="11"/>
      <c r="AI358" s="11"/>
      <c r="AJ358" s="11"/>
      <c r="AK358" s="11"/>
      <c r="AL358" s="11"/>
      <c r="AM358" s="11"/>
      <c r="AN358" s="11"/>
      <c r="AO358" s="11"/>
      <c r="AP358" s="11"/>
      <c r="AQ358" s="11"/>
      <c r="AR358" s="11"/>
      <c r="AS358" s="11"/>
      <c r="AT358" s="11"/>
      <c r="AU358" s="11"/>
    </row>
    <row r="359" spans="1:47" x14ac:dyDescent="0.55000000000000004">
      <c r="B359" s="13" t="s">
        <v>325</v>
      </c>
      <c r="C359" s="7" t="s">
        <v>1846</v>
      </c>
      <c r="D359" s="6"/>
      <c r="E359" s="6"/>
      <c r="F359" s="6"/>
      <c r="G359" s="6"/>
      <c r="H359" s="6"/>
      <c r="I359" s="6"/>
      <c r="J359" s="6"/>
      <c r="K359" s="6"/>
      <c r="L359" s="6"/>
      <c r="M359" s="93"/>
      <c r="AA359" s="11"/>
      <c r="AB359" s="11"/>
      <c r="AC359" s="11"/>
      <c r="AD359" s="11"/>
      <c r="AE359" s="11"/>
      <c r="AF359" s="11"/>
      <c r="AG359" s="11"/>
      <c r="AH359" s="11"/>
      <c r="AI359" s="11"/>
      <c r="AJ359" s="11"/>
      <c r="AK359" s="11"/>
      <c r="AL359" s="11"/>
      <c r="AM359" s="11"/>
      <c r="AN359" s="11"/>
      <c r="AO359" s="11"/>
      <c r="AP359" s="11"/>
      <c r="AQ359" s="11"/>
      <c r="AR359" s="11"/>
      <c r="AS359" s="11"/>
      <c r="AT359" s="11"/>
      <c r="AU359" s="11"/>
    </row>
    <row r="360" spans="1:47" x14ac:dyDescent="0.55000000000000004">
      <c r="B360" s="13" t="s">
        <v>813</v>
      </c>
      <c r="C360" s="7">
        <v>1</v>
      </c>
      <c r="D360" s="6"/>
      <c r="E360" s="6"/>
      <c r="F360" s="6"/>
      <c r="G360" s="6"/>
      <c r="H360" s="6"/>
      <c r="I360" s="6"/>
      <c r="J360" s="6"/>
      <c r="K360" s="6"/>
      <c r="L360" s="6"/>
      <c r="M360" s="93"/>
      <c r="AA360" s="11"/>
      <c r="AB360" s="11"/>
      <c r="AC360" s="11"/>
      <c r="AD360" s="11"/>
      <c r="AE360" s="11"/>
      <c r="AF360" s="11"/>
      <c r="AG360" s="11"/>
      <c r="AH360" s="11"/>
      <c r="AI360" s="11"/>
      <c r="AJ360" s="11"/>
      <c r="AK360" s="11"/>
      <c r="AL360" s="11"/>
      <c r="AM360" s="11"/>
      <c r="AN360" s="11"/>
      <c r="AO360" s="11"/>
      <c r="AP360" s="11"/>
      <c r="AQ360" s="11"/>
      <c r="AR360" s="11"/>
      <c r="AS360" s="11"/>
      <c r="AT360" s="11"/>
      <c r="AU360" s="11"/>
    </row>
    <row r="361" spans="1:47" x14ac:dyDescent="0.55000000000000004">
      <c r="B361" s="13" t="s">
        <v>361</v>
      </c>
      <c r="C361" s="7">
        <v>4.1669999999999999E-2</v>
      </c>
      <c r="D361" s="6"/>
      <c r="E361" s="6"/>
      <c r="F361" s="6"/>
      <c r="G361" s="6"/>
      <c r="H361" s="6"/>
      <c r="I361" s="6"/>
      <c r="J361" s="6"/>
      <c r="K361" s="6"/>
      <c r="L361" s="6"/>
      <c r="M361" s="93"/>
      <c r="AA361" s="11"/>
      <c r="AB361" s="11"/>
      <c r="AC361" s="11"/>
      <c r="AD361" s="11"/>
      <c r="AE361" s="11"/>
      <c r="AF361" s="11"/>
      <c r="AG361" s="11"/>
      <c r="AH361" s="11"/>
      <c r="AI361" s="11"/>
      <c r="AJ361" s="11"/>
      <c r="AK361" s="11"/>
      <c r="AL361" s="11"/>
      <c r="AM361" s="11"/>
      <c r="AN361" s="11"/>
      <c r="AO361" s="11"/>
      <c r="AP361" s="11"/>
      <c r="AQ361" s="11"/>
      <c r="AR361" s="11"/>
      <c r="AS361" s="11"/>
      <c r="AT361" s="11"/>
      <c r="AU361" s="11"/>
    </row>
    <row r="362" spans="1:47" x14ac:dyDescent="0.55000000000000004">
      <c r="B362" s="13" t="s">
        <v>362</v>
      </c>
      <c r="C362" s="7">
        <v>40</v>
      </c>
      <c r="D362" s="7">
        <v>43</v>
      </c>
      <c r="E362" s="6"/>
      <c r="F362" s="6"/>
      <c r="G362" s="6"/>
      <c r="H362" s="6"/>
      <c r="I362" s="6"/>
      <c r="J362" s="6"/>
      <c r="K362" s="6"/>
      <c r="L362" s="6"/>
      <c r="M362" s="93"/>
      <c r="AA362" s="11"/>
      <c r="AB362" s="11"/>
      <c r="AC362" s="11"/>
      <c r="AD362" s="11"/>
      <c r="AE362" s="11"/>
      <c r="AF362" s="11"/>
      <c r="AG362" s="11"/>
      <c r="AH362" s="11"/>
      <c r="AI362" s="11"/>
      <c r="AJ362" s="11"/>
      <c r="AK362" s="11"/>
      <c r="AL362" s="11"/>
      <c r="AM362" s="11"/>
      <c r="AN362" s="11"/>
      <c r="AO362" s="11"/>
      <c r="AP362" s="11"/>
      <c r="AQ362" s="11"/>
      <c r="AR362" s="11"/>
      <c r="AS362" s="11"/>
      <c r="AT362" s="11"/>
      <c r="AU362" s="11"/>
    </row>
    <row r="363" spans="1:47" x14ac:dyDescent="0.55000000000000004">
      <c r="B363" s="13" t="s">
        <v>363</v>
      </c>
      <c r="C363" s="7">
        <v>0.5</v>
      </c>
      <c r="D363" s="7">
        <v>15</v>
      </c>
      <c r="E363" s="6"/>
      <c r="F363" s="6"/>
      <c r="G363" s="6"/>
      <c r="H363" s="6"/>
      <c r="I363" s="6"/>
      <c r="J363" s="6"/>
      <c r="K363" s="6"/>
      <c r="L363" s="6"/>
      <c r="M363" s="93"/>
      <c r="AA363" s="11"/>
      <c r="AB363" s="11"/>
      <c r="AC363" s="11"/>
      <c r="AD363" s="11"/>
      <c r="AE363" s="11"/>
      <c r="AF363" s="11"/>
      <c r="AG363" s="11"/>
      <c r="AH363" s="11"/>
      <c r="AI363" s="11"/>
      <c r="AJ363" s="11"/>
      <c r="AK363" s="11"/>
      <c r="AL363" s="11"/>
      <c r="AM363" s="11"/>
      <c r="AN363" s="11"/>
      <c r="AO363" s="11"/>
      <c r="AP363" s="11"/>
      <c r="AQ363" s="11"/>
      <c r="AR363" s="11"/>
      <c r="AS363" s="11"/>
      <c r="AT363" s="11"/>
      <c r="AU363" s="11"/>
    </row>
    <row r="364" spans="1:47" x14ac:dyDescent="0.55000000000000004">
      <c r="B364" s="21"/>
      <c r="C364" s="6" t="s">
        <v>394</v>
      </c>
      <c r="D364" s="6"/>
      <c r="E364" s="6"/>
      <c r="F364" s="6"/>
      <c r="G364" s="6"/>
      <c r="H364" s="6"/>
      <c r="I364" s="6"/>
      <c r="J364" s="6"/>
      <c r="K364" s="6"/>
      <c r="L364" s="6"/>
      <c r="M364" s="93"/>
      <c r="AA364" s="11"/>
      <c r="AB364" s="11"/>
      <c r="AC364" s="11"/>
      <c r="AD364" s="11"/>
      <c r="AE364" s="11"/>
      <c r="AF364" s="11"/>
      <c r="AG364" s="11"/>
      <c r="AH364" s="11"/>
      <c r="AI364" s="11"/>
      <c r="AJ364" s="11"/>
      <c r="AK364" s="11"/>
      <c r="AL364" s="11"/>
      <c r="AM364" s="11"/>
      <c r="AN364" s="11"/>
      <c r="AO364" s="11"/>
      <c r="AP364" s="11"/>
      <c r="AQ364" s="11"/>
      <c r="AR364" s="11"/>
      <c r="AS364" s="11"/>
      <c r="AT364" s="11"/>
      <c r="AU364" s="11"/>
    </row>
    <row r="365" spans="1:47" x14ac:dyDescent="0.55000000000000004">
      <c r="A365" s="30" t="s">
        <v>1222</v>
      </c>
      <c r="B365" s="74" t="s">
        <v>1215</v>
      </c>
      <c r="C365" s="42" t="s">
        <v>1231</v>
      </c>
      <c r="D365" s="6"/>
      <c r="E365" s="6"/>
      <c r="F365" s="6"/>
      <c r="G365" s="6"/>
      <c r="H365" s="6"/>
      <c r="I365" s="6"/>
      <c r="J365" s="6"/>
      <c r="K365" s="6"/>
      <c r="L365" s="6"/>
      <c r="M365" s="93"/>
      <c r="AA365" s="11"/>
      <c r="AB365" s="11"/>
      <c r="AC365" s="11"/>
      <c r="AD365" s="11"/>
      <c r="AE365" s="11"/>
      <c r="AF365" s="11"/>
      <c r="AG365" s="11"/>
      <c r="AH365" s="11"/>
      <c r="AI365" s="11"/>
      <c r="AJ365" s="11"/>
      <c r="AK365" s="11"/>
      <c r="AL365" s="11"/>
      <c r="AM365" s="11"/>
      <c r="AN365" s="11"/>
      <c r="AO365" s="11"/>
      <c r="AP365" s="11"/>
      <c r="AQ365" s="11"/>
      <c r="AR365" s="11"/>
      <c r="AS365" s="11"/>
      <c r="AT365" s="11"/>
      <c r="AU365" s="11"/>
    </row>
    <row r="366" spans="1:47" x14ac:dyDescent="0.55000000000000004">
      <c r="A366" s="30" t="s">
        <v>1223</v>
      </c>
      <c r="B366" s="13" t="s">
        <v>1216</v>
      </c>
      <c r="C366" s="7" t="s">
        <v>17</v>
      </c>
      <c r="D366" s="6"/>
      <c r="E366" s="6"/>
      <c r="F366" s="6"/>
      <c r="G366" s="6"/>
      <c r="H366" s="6"/>
      <c r="I366" s="6"/>
      <c r="J366" s="6"/>
      <c r="K366" s="6"/>
      <c r="L366" s="6"/>
      <c r="M366" s="93"/>
      <c r="AA366" s="11"/>
      <c r="AB366" s="11"/>
      <c r="AC366" s="11"/>
      <c r="AD366" s="11"/>
      <c r="AE366" s="11"/>
      <c r="AF366" s="11"/>
      <c r="AG366" s="11"/>
      <c r="AH366" s="11"/>
      <c r="AI366" s="11"/>
      <c r="AJ366" s="11"/>
      <c r="AK366" s="11"/>
      <c r="AL366" s="11"/>
      <c r="AM366" s="11"/>
      <c r="AN366" s="11"/>
      <c r="AO366" s="11"/>
      <c r="AP366" s="11"/>
      <c r="AQ366" s="11"/>
      <c r="AR366" s="11"/>
      <c r="AS366" s="11"/>
      <c r="AT366" s="11"/>
      <c r="AU366" s="11"/>
    </row>
    <row r="367" spans="1:47" x14ac:dyDescent="0.55000000000000004">
      <c r="B367" s="13" t="s">
        <v>1233</v>
      </c>
      <c r="C367" s="7">
        <v>0.1</v>
      </c>
      <c r="D367" s="6"/>
      <c r="E367" s="6"/>
      <c r="F367" s="6"/>
      <c r="G367" s="6"/>
      <c r="H367" s="6"/>
      <c r="I367" s="6"/>
      <c r="J367" s="6"/>
      <c r="K367" s="6"/>
      <c r="L367" s="6"/>
      <c r="M367" s="93"/>
      <c r="AA367" s="11"/>
      <c r="AB367" s="11"/>
      <c r="AC367" s="11"/>
      <c r="AD367" s="11"/>
      <c r="AE367" s="11"/>
      <c r="AF367" s="11"/>
      <c r="AG367" s="11"/>
      <c r="AH367" s="11"/>
      <c r="AI367" s="11"/>
      <c r="AJ367" s="11"/>
      <c r="AK367" s="11"/>
      <c r="AL367" s="11"/>
      <c r="AM367" s="11"/>
      <c r="AN367" s="11"/>
      <c r="AO367" s="11"/>
      <c r="AP367" s="11"/>
      <c r="AQ367" s="11"/>
      <c r="AR367" s="11"/>
      <c r="AS367" s="11"/>
      <c r="AT367" s="11"/>
      <c r="AU367" s="11"/>
    </row>
    <row r="368" spans="1:47" x14ac:dyDescent="0.55000000000000004">
      <c r="B368" s="21"/>
      <c r="C368" s="6" t="s">
        <v>394</v>
      </c>
      <c r="D368" s="6"/>
      <c r="E368" s="6"/>
      <c r="F368" s="6"/>
      <c r="G368" s="6"/>
      <c r="H368" s="6"/>
      <c r="I368" s="6"/>
      <c r="J368" s="6"/>
      <c r="K368" s="6"/>
      <c r="L368" s="6"/>
      <c r="M368" s="93"/>
      <c r="AA368" s="11"/>
      <c r="AB368" s="11"/>
      <c r="AC368" s="11"/>
      <c r="AD368" s="11"/>
      <c r="AE368" s="11"/>
      <c r="AF368" s="11"/>
      <c r="AG368" s="11"/>
      <c r="AH368" s="11"/>
      <c r="AI368" s="11"/>
      <c r="AJ368" s="11"/>
      <c r="AK368" s="11"/>
      <c r="AL368" s="11"/>
      <c r="AM368" s="11"/>
      <c r="AN368" s="11"/>
      <c r="AO368" s="11"/>
      <c r="AP368" s="11"/>
      <c r="AQ368" s="11"/>
      <c r="AR368" s="11"/>
      <c r="AS368" s="11"/>
      <c r="AT368" s="11"/>
      <c r="AU368" s="11"/>
    </row>
    <row r="369" spans="1:47" x14ac:dyDescent="0.55000000000000004">
      <c r="A369" s="30" t="s">
        <v>1224</v>
      </c>
      <c r="B369" s="74" t="s">
        <v>1217</v>
      </c>
      <c r="C369" s="42" t="s">
        <v>1218</v>
      </c>
      <c r="D369" s="6"/>
      <c r="E369" s="6"/>
      <c r="F369" s="6"/>
      <c r="G369" s="6"/>
      <c r="H369" s="6"/>
      <c r="I369" s="6"/>
      <c r="J369" s="6"/>
      <c r="K369" s="6"/>
      <c r="L369" s="6"/>
      <c r="M369" s="93"/>
      <c r="AA369" s="11"/>
      <c r="AB369" s="11"/>
      <c r="AC369" s="11"/>
      <c r="AD369" s="11"/>
      <c r="AE369" s="11"/>
      <c r="AF369" s="11"/>
      <c r="AG369" s="11"/>
      <c r="AH369" s="11"/>
      <c r="AI369" s="11"/>
      <c r="AJ369" s="11"/>
      <c r="AK369" s="11"/>
      <c r="AL369" s="11"/>
      <c r="AM369" s="11"/>
      <c r="AN369" s="11"/>
      <c r="AO369" s="11"/>
      <c r="AP369" s="11"/>
      <c r="AQ369" s="11"/>
      <c r="AR369" s="11"/>
      <c r="AS369" s="11"/>
      <c r="AT369" s="11"/>
      <c r="AU369" s="11"/>
    </row>
    <row r="370" spans="1:47" x14ac:dyDescent="0.55000000000000004">
      <c r="A370" s="30" t="s">
        <v>1225</v>
      </c>
      <c r="B370" s="13" t="s">
        <v>1785</v>
      </c>
      <c r="C370" s="7" t="s">
        <v>2</v>
      </c>
      <c r="D370" s="6"/>
      <c r="E370" s="6"/>
      <c r="F370" s="6"/>
      <c r="G370" s="6"/>
      <c r="H370" s="6"/>
      <c r="I370" s="6"/>
      <c r="J370" s="6"/>
      <c r="K370" s="6"/>
      <c r="L370" s="6"/>
      <c r="M370" s="93"/>
      <c r="AA370" s="11"/>
      <c r="AB370" s="11"/>
      <c r="AC370" s="11"/>
      <c r="AD370" s="11"/>
      <c r="AE370" s="11"/>
      <c r="AF370" s="11"/>
      <c r="AG370" s="11"/>
      <c r="AH370" s="11"/>
      <c r="AI370" s="11"/>
      <c r="AJ370" s="11"/>
      <c r="AK370" s="11"/>
      <c r="AL370" s="11"/>
      <c r="AM370" s="11"/>
      <c r="AN370" s="11"/>
      <c r="AO370" s="11"/>
      <c r="AP370" s="11"/>
      <c r="AQ370" s="11"/>
      <c r="AR370" s="11"/>
      <c r="AS370" s="11"/>
      <c r="AT370" s="11"/>
      <c r="AU370" s="11"/>
    </row>
    <row r="371" spans="1:47" x14ac:dyDescent="0.55000000000000004">
      <c r="B371" s="13" t="s">
        <v>1219</v>
      </c>
      <c r="C371" s="7">
        <v>14</v>
      </c>
      <c r="D371" s="6"/>
      <c r="E371" s="6"/>
      <c r="F371" s="6"/>
      <c r="G371" s="6"/>
      <c r="H371" s="6"/>
      <c r="I371" s="6"/>
      <c r="J371" s="6"/>
      <c r="K371" s="6"/>
      <c r="L371" s="6"/>
      <c r="M371" s="93"/>
      <c r="AA371" s="11"/>
      <c r="AB371" s="11"/>
      <c r="AC371" s="11"/>
      <c r="AD371" s="11"/>
      <c r="AE371" s="11"/>
      <c r="AF371" s="11"/>
      <c r="AG371" s="11"/>
      <c r="AH371" s="11"/>
      <c r="AI371" s="11"/>
      <c r="AJ371" s="11"/>
      <c r="AK371" s="11"/>
      <c r="AL371" s="11"/>
      <c r="AM371" s="11"/>
      <c r="AN371" s="11"/>
      <c r="AO371" s="11"/>
      <c r="AP371" s="11"/>
      <c r="AQ371" s="11"/>
      <c r="AR371" s="11"/>
      <c r="AS371" s="11"/>
      <c r="AT371" s="11"/>
      <c r="AU371" s="11"/>
    </row>
    <row r="372" spans="1:47" x14ac:dyDescent="0.55000000000000004">
      <c r="B372" s="21"/>
      <c r="C372" s="6" t="s">
        <v>394</v>
      </c>
      <c r="D372" s="6"/>
      <c r="E372" s="6"/>
      <c r="F372" s="6"/>
      <c r="G372" s="6"/>
      <c r="H372" s="6"/>
      <c r="I372" s="6"/>
      <c r="J372" s="6"/>
      <c r="K372" s="6"/>
      <c r="L372" s="6"/>
      <c r="M372" s="93"/>
      <c r="AA372" s="11"/>
      <c r="AB372" s="11"/>
      <c r="AC372" s="11"/>
      <c r="AD372" s="11"/>
      <c r="AE372" s="11"/>
      <c r="AF372" s="11"/>
      <c r="AG372" s="11"/>
      <c r="AH372" s="11"/>
      <c r="AI372" s="11"/>
      <c r="AJ372" s="11"/>
      <c r="AK372" s="11"/>
      <c r="AL372" s="11"/>
      <c r="AM372" s="11"/>
      <c r="AN372" s="11"/>
      <c r="AO372" s="11"/>
      <c r="AP372" s="11"/>
      <c r="AQ372" s="11"/>
      <c r="AR372" s="11"/>
      <c r="AS372" s="11"/>
      <c r="AT372" s="11"/>
      <c r="AU372" s="11"/>
    </row>
    <row r="373" spans="1:47" x14ac:dyDescent="0.55000000000000004">
      <c r="A373" s="30" t="s">
        <v>1226</v>
      </c>
      <c r="B373" s="74" t="s">
        <v>1232</v>
      </c>
      <c r="C373" s="42" t="s">
        <v>1220</v>
      </c>
      <c r="D373" s="6"/>
      <c r="E373" s="6"/>
      <c r="F373" s="6"/>
      <c r="G373" s="6"/>
      <c r="H373" s="6"/>
      <c r="I373" s="6"/>
      <c r="J373" s="6"/>
      <c r="K373" s="6"/>
      <c r="L373" s="6"/>
      <c r="M373" s="93"/>
      <c r="AA373" s="11"/>
      <c r="AB373" s="11"/>
      <c r="AC373" s="11"/>
      <c r="AD373" s="11"/>
      <c r="AE373" s="11"/>
      <c r="AF373" s="11"/>
      <c r="AG373" s="11"/>
      <c r="AH373" s="11"/>
      <c r="AI373" s="11"/>
      <c r="AJ373" s="11"/>
      <c r="AK373" s="11"/>
      <c r="AL373" s="11"/>
      <c r="AM373" s="11"/>
      <c r="AN373" s="11"/>
      <c r="AO373" s="11"/>
      <c r="AP373" s="11"/>
      <c r="AQ373" s="11"/>
      <c r="AR373" s="11"/>
      <c r="AS373" s="11"/>
      <c r="AT373" s="11"/>
      <c r="AU373" s="11"/>
    </row>
    <row r="374" spans="1:47" x14ac:dyDescent="0.55000000000000004">
      <c r="A374" s="30" t="s">
        <v>1225</v>
      </c>
      <c r="B374" s="13" t="s">
        <v>1786</v>
      </c>
      <c r="C374" s="7" t="s">
        <v>17</v>
      </c>
      <c r="D374" s="6"/>
      <c r="E374" s="6"/>
      <c r="F374" s="6"/>
      <c r="G374" s="6"/>
      <c r="H374" s="6"/>
      <c r="I374" s="6"/>
      <c r="J374" s="6"/>
      <c r="K374" s="6"/>
      <c r="L374" s="6"/>
      <c r="M374" s="93"/>
      <c r="AA374" s="11"/>
      <c r="AB374" s="11"/>
      <c r="AC374" s="11"/>
      <c r="AD374" s="11"/>
      <c r="AE374" s="11"/>
      <c r="AF374" s="11"/>
      <c r="AG374" s="11"/>
      <c r="AH374" s="11"/>
      <c r="AI374" s="11"/>
      <c r="AJ374" s="11"/>
      <c r="AK374" s="11"/>
      <c r="AL374" s="11"/>
      <c r="AM374" s="11"/>
      <c r="AN374" s="11"/>
      <c r="AO374" s="11"/>
      <c r="AP374" s="11"/>
      <c r="AQ374" s="11"/>
      <c r="AR374" s="11"/>
      <c r="AS374" s="11"/>
      <c r="AT374" s="11"/>
      <c r="AU374" s="11"/>
    </row>
    <row r="375" spans="1:47" x14ac:dyDescent="0.55000000000000004">
      <c r="A375" s="30" t="s">
        <v>1227</v>
      </c>
      <c r="B375" s="13" t="s">
        <v>1221</v>
      </c>
      <c r="C375" s="7">
        <v>14</v>
      </c>
      <c r="D375" s="6"/>
      <c r="E375" s="6"/>
      <c r="F375" s="6"/>
      <c r="G375" s="6"/>
      <c r="H375" s="6"/>
      <c r="I375" s="6"/>
      <c r="J375" s="6"/>
      <c r="K375" s="6"/>
      <c r="L375" s="6"/>
      <c r="M375" s="93"/>
      <c r="AA375" s="11"/>
      <c r="AB375" s="11"/>
      <c r="AC375" s="11"/>
      <c r="AD375" s="11"/>
      <c r="AE375" s="11"/>
      <c r="AF375" s="11"/>
      <c r="AG375" s="11"/>
      <c r="AH375" s="11"/>
      <c r="AI375" s="11"/>
      <c r="AJ375" s="11"/>
      <c r="AK375" s="11"/>
      <c r="AL375" s="11"/>
      <c r="AM375" s="11"/>
      <c r="AN375" s="11"/>
      <c r="AO375" s="11"/>
      <c r="AP375" s="11"/>
      <c r="AQ375" s="11"/>
      <c r="AR375" s="11"/>
      <c r="AS375" s="11"/>
      <c r="AT375" s="11"/>
      <c r="AU375" s="11"/>
    </row>
    <row r="376" spans="1:47" x14ac:dyDescent="0.55000000000000004">
      <c r="B376" s="21"/>
      <c r="C376" s="6" t="s">
        <v>394</v>
      </c>
      <c r="D376" s="6"/>
      <c r="E376" s="6"/>
      <c r="F376" s="6"/>
      <c r="G376" s="6"/>
      <c r="H376" s="6"/>
      <c r="I376" s="6"/>
      <c r="J376" s="6"/>
      <c r="K376" s="6"/>
      <c r="L376" s="6"/>
      <c r="M376" s="93"/>
      <c r="AA376" s="11"/>
      <c r="AB376" s="11"/>
      <c r="AC376" s="11"/>
      <c r="AD376" s="11"/>
      <c r="AE376" s="11"/>
      <c r="AF376" s="11"/>
      <c r="AG376" s="11"/>
      <c r="AH376" s="11"/>
      <c r="AI376" s="11"/>
      <c r="AJ376" s="11"/>
      <c r="AK376" s="11"/>
      <c r="AL376" s="11"/>
      <c r="AM376" s="11"/>
      <c r="AN376" s="11"/>
      <c r="AO376" s="11"/>
      <c r="AP376" s="11"/>
      <c r="AQ376" s="11"/>
      <c r="AR376" s="11"/>
      <c r="AS376" s="11"/>
      <c r="AT376" s="11"/>
      <c r="AU376" s="11"/>
    </row>
    <row r="377" spans="1:47" x14ac:dyDescent="0.55000000000000004">
      <c r="B377" s="74" t="s">
        <v>364</v>
      </c>
      <c r="C377" s="42" t="s">
        <v>911</v>
      </c>
      <c r="D377" s="6"/>
      <c r="E377" s="6"/>
      <c r="F377" s="6"/>
      <c r="G377" s="6"/>
      <c r="H377" s="6"/>
      <c r="I377" s="6"/>
      <c r="J377" s="6"/>
      <c r="K377" s="6"/>
      <c r="L377" s="6"/>
      <c r="M377" s="93"/>
      <c r="AA377" s="11"/>
      <c r="AB377" s="11"/>
      <c r="AC377" s="11"/>
      <c r="AD377" s="11"/>
      <c r="AE377" s="11"/>
      <c r="AF377" s="11"/>
      <c r="AG377" s="11"/>
      <c r="AH377" s="11"/>
      <c r="AI377" s="11"/>
      <c r="AJ377" s="11"/>
      <c r="AK377" s="11"/>
      <c r="AL377" s="11"/>
      <c r="AM377" s="11"/>
      <c r="AN377" s="11"/>
      <c r="AO377" s="11"/>
      <c r="AP377" s="11"/>
      <c r="AQ377" s="11"/>
      <c r="AR377" s="11"/>
      <c r="AS377" s="11"/>
      <c r="AT377" s="11"/>
      <c r="AU377" s="11"/>
    </row>
    <row r="378" spans="1:47" x14ac:dyDescent="0.55000000000000004">
      <c r="B378" s="13" t="s">
        <v>365</v>
      </c>
      <c r="C378" s="7" t="s">
        <v>940</v>
      </c>
      <c r="D378" s="6"/>
      <c r="E378" s="6"/>
      <c r="F378" s="6"/>
      <c r="G378" s="6"/>
      <c r="H378" s="6"/>
      <c r="I378" s="6"/>
      <c r="J378" s="6"/>
      <c r="K378" s="6"/>
      <c r="L378" s="6"/>
      <c r="M378" s="93"/>
      <c r="AA378" s="11"/>
      <c r="AB378" s="11"/>
      <c r="AC378" s="11"/>
      <c r="AD378" s="11"/>
      <c r="AE378" s="11"/>
      <c r="AF378" s="11"/>
      <c r="AG378" s="11"/>
      <c r="AH378" s="11"/>
      <c r="AI378" s="11"/>
      <c r="AJ378" s="11"/>
      <c r="AK378" s="11"/>
      <c r="AL378" s="11"/>
      <c r="AM378" s="11"/>
      <c r="AN378" s="11"/>
      <c r="AO378" s="11"/>
      <c r="AP378" s="11"/>
      <c r="AQ378" s="11"/>
      <c r="AR378" s="11"/>
      <c r="AS378" s="11"/>
      <c r="AT378" s="11"/>
      <c r="AU378" s="11"/>
    </row>
    <row r="379" spans="1:47" x14ac:dyDescent="0.55000000000000004">
      <c r="B379" s="13" t="s">
        <v>366</v>
      </c>
      <c r="C379" s="7">
        <v>1</v>
      </c>
      <c r="D379" s="6"/>
      <c r="E379" s="6"/>
      <c r="F379" s="6"/>
      <c r="G379" s="6"/>
      <c r="H379" s="6"/>
      <c r="I379" s="6"/>
      <c r="J379" s="6"/>
      <c r="K379" s="6"/>
      <c r="L379" s="6"/>
      <c r="M379" s="93"/>
      <c r="AA379" s="11"/>
      <c r="AB379" s="11"/>
      <c r="AC379" s="11"/>
      <c r="AD379" s="11"/>
      <c r="AE379" s="11"/>
      <c r="AF379" s="11"/>
      <c r="AG379" s="11"/>
      <c r="AH379" s="11"/>
      <c r="AI379" s="11"/>
      <c r="AJ379" s="11"/>
      <c r="AK379" s="11"/>
      <c r="AL379" s="11"/>
      <c r="AM379" s="11"/>
      <c r="AN379" s="11"/>
      <c r="AO379" s="11"/>
      <c r="AP379" s="11"/>
      <c r="AQ379" s="11"/>
      <c r="AR379" s="11"/>
      <c r="AS379" s="11"/>
      <c r="AT379" s="11"/>
      <c r="AU379" s="11"/>
    </row>
    <row r="380" spans="1:47" x14ac:dyDescent="0.55000000000000004">
      <c r="B380" s="13" t="s">
        <v>367</v>
      </c>
      <c r="C380" s="7">
        <v>1</v>
      </c>
      <c r="D380" s="6"/>
      <c r="E380" s="6"/>
      <c r="F380" s="6"/>
      <c r="G380" s="6"/>
      <c r="H380" s="6"/>
      <c r="I380" s="6"/>
      <c r="J380" s="6"/>
      <c r="K380" s="6"/>
      <c r="L380" s="6"/>
      <c r="M380" s="93"/>
      <c r="AA380" s="11"/>
      <c r="AB380" s="11"/>
      <c r="AC380" s="11"/>
      <c r="AD380" s="11"/>
      <c r="AE380" s="11"/>
      <c r="AF380" s="11"/>
      <c r="AG380" s="11"/>
      <c r="AH380" s="11"/>
      <c r="AI380" s="11"/>
      <c r="AJ380" s="11"/>
      <c r="AK380" s="11"/>
      <c r="AL380" s="11"/>
      <c r="AM380" s="11"/>
      <c r="AN380" s="11"/>
      <c r="AO380" s="11"/>
      <c r="AP380" s="11"/>
      <c r="AQ380" s="11"/>
      <c r="AR380" s="11"/>
      <c r="AS380" s="11"/>
      <c r="AT380" s="11"/>
      <c r="AU380" s="11"/>
    </row>
    <row r="381" spans="1:47" x14ac:dyDescent="0.55000000000000004">
      <c r="B381" s="13" t="s">
        <v>326</v>
      </c>
      <c r="C381" s="7" t="s">
        <v>953</v>
      </c>
      <c r="D381" s="6"/>
      <c r="E381" s="6"/>
      <c r="F381" s="6"/>
      <c r="G381" s="6"/>
      <c r="H381" s="6"/>
      <c r="I381" s="6"/>
      <c r="J381" s="6"/>
      <c r="K381" s="6"/>
      <c r="L381" s="6"/>
      <c r="M381" s="93"/>
      <c r="AA381" s="11"/>
      <c r="AB381" s="11"/>
      <c r="AC381" s="11"/>
      <c r="AD381" s="11"/>
      <c r="AE381" s="11"/>
      <c r="AF381" s="11"/>
      <c r="AG381" s="11"/>
      <c r="AH381" s="11"/>
      <c r="AI381" s="11"/>
      <c r="AJ381" s="11"/>
      <c r="AK381" s="11"/>
      <c r="AL381" s="11"/>
      <c r="AM381" s="11"/>
      <c r="AN381" s="11"/>
      <c r="AO381" s="11"/>
      <c r="AP381" s="11"/>
      <c r="AQ381" s="11"/>
      <c r="AR381" s="11"/>
      <c r="AS381" s="11"/>
      <c r="AT381" s="11"/>
      <c r="AU381" s="11"/>
    </row>
    <row r="382" spans="1:47" x14ac:dyDescent="0.55000000000000004">
      <c r="B382" s="13" t="s">
        <v>814</v>
      </c>
      <c r="C382" s="7">
        <v>1</v>
      </c>
      <c r="D382" s="6"/>
      <c r="E382" s="6"/>
      <c r="F382" s="6"/>
      <c r="G382" s="6"/>
      <c r="H382" s="6"/>
      <c r="I382" s="6"/>
      <c r="J382" s="6"/>
      <c r="K382" s="6"/>
      <c r="L382" s="6"/>
      <c r="M382" s="93"/>
      <c r="AA382" s="11"/>
      <c r="AB382" s="11"/>
      <c r="AC382" s="11"/>
      <c r="AD382" s="11"/>
      <c r="AE382" s="11"/>
      <c r="AF382" s="11"/>
      <c r="AG382" s="11"/>
      <c r="AH382" s="11"/>
      <c r="AI382" s="11"/>
      <c r="AJ382" s="11"/>
      <c r="AK382" s="11"/>
      <c r="AL382" s="11"/>
      <c r="AM382" s="11"/>
      <c r="AN382" s="11"/>
      <c r="AO382" s="11"/>
      <c r="AP382" s="11"/>
      <c r="AQ382" s="11"/>
      <c r="AR382" s="11"/>
      <c r="AS382" s="11"/>
      <c r="AT382" s="11"/>
      <c r="AU382" s="11"/>
    </row>
    <row r="383" spans="1:47" x14ac:dyDescent="0.55000000000000004">
      <c r="B383" s="13" t="s">
        <v>368</v>
      </c>
      <c r="C383" s="7">
        <v>4.1666599999999998E-2</v>
      </c>
      <c r="D383" s="6"/>
      <c r="E383" s="6"/>
      <c r="F383" s="6"/>
      <c r="G383" s="6"/>
      <c r="H383" s="6"/>
      <c r="I383" s="6"/>
      <c r="J383" s="6"/>
      <c r="K383" s="6"/>
      <c r="L383" s="6"/>
      <c r="M383" s="93"/>
      <c r="AA383" s="11"/>
      <c r="AB383" s="11"/>
      <c r="AC383" s="11"/>
      <c r="AD383" s="11"/>
      <c r="AE383" s="11"/>
      <c r="AF383" s="11"/>
      <c r="AG383" s="11"/>
      <c r="AH383" s="11"/>
      <c r="AI383" s="11"/>
      <c r="AJ383" s="11"/>
      <c r="AK383" s="11"/>
      <c r="AL383" s="11"/>
      <c r="AM383" s="11"/>
      <c r="AN383" s="11"/>
      <c r="AO383" s="11"/>
      <c r="AP383" s="11"/>
      <c r="AQ383" s="11"/>
      <c r="AR383" s="11"/>
      <c r="AS383" s="11"/>
      <c r="AT383" s="11"/>
      <c r="AU383" s="11"/>
    </row>
    <row r="384" spans="1:47" x14ac:dyDescent="0.55000000000000004">
      <c r="B384" s="13" t="s">
        <v>369</v>
      </c>
      <c r="C384" s="7">
        <v>76</v>
      </c>
      <c r="D384" s="6"/>
      <c r="E384" s="6"/>
      <c r="F384" s="6"/>
      <c r="G384" s="6"/>
      <c r="H384" s="6"/>
      <c r="I384" s="6"/>
      <c r="J384" s="6"/>
      <c r="K384" s="6"/>
      <c r="L384" s="6"/>
      <c r="M384" s="93"/>
      <c r="AA384" s="11"/>
      <c r="AB384" s="11"/>
      <c r="AC384" s="11"/>
      <c r="AD384" s="11"/>
      <c r="AE384" s="11"/>
      <c r="AF384" s="11"/>
      <c r="AG384" s="11"/>
      <c r="AH384" s="11"/>
      <c r="AI384" s="11"/>
      <c r="AJ384" s="11"/>
      <c r="AK384" s="11"/>
      <c r="AL384" s="11"/>
      <c r="AM384" s="11"/>
      <c r="AN384" s="11"/>
      <c r="AO384" s="11"/>
      <c r="AP384" s="11"/>
      <c r="AQ384" s="11"/>
      <c r="AR384" s="11"/>
      <c r="AS384" s="11"/>
      <c r="AT384" s="11"/>
      <c r="AU384" s="11"/>
    </row>
    <row r="385" spans="1:104" x14ac:dyDescent="0.55000000000000004">
      <c r="B385" s="21"/>
      <c r="C385" s="6" t="s">
        <v>394</v>
      </c>
      <c r="D385" s="6"/>
      <c r="E385" s="6"/>
      <c r="F385" s="6"/>
      <c r="G385" s="6"/>
      <c r="H385" s="6"/>
      <c r="I385" s="6"/>
      <c r="J385" s="6"/>
      <c r="K385" s="6"/>
      <c r="L385" s="6"/>
      <c r="M385" s="93"/>
      <c r="AA385" s="11"/>
      <c r="AB385" s="11"/>
      <c r="AC385" s="11"/>
      <c r="AD385" s="11"/>
      <c r="AE385" s="11"/>
      <c r="AF385" s="11"/>
      <c r="AG385" s="11"/>
      <c r="AH385" s="11"/>
      <c r="AI385" s="11"/>
      <c r="AJ385" s="11"/>
      <c r="AK385" s="11"/>
      <c r="AL385" s="11"/>
      <c r="AM385" s="11"/>
      <c r="AN385" s="11"/>
      <c r="AO385" s="11"/>
      <c r="AP385" s="11"/>
      <c r="AQ385" s="11"/>
      <c r="AR385" s="11"/>
      <c r="AS385" s="11"/>
      <c r="AT385" s="11"/>
      <c r="AU385" s="11"/>
    </row>
    <row r="386" spans="1:104" x14ac:dyDescent="0.55000000000000004">
      <c r="B386" s="74" t="s">
        <v>49</v>
      </c>
      <c r="C386" s="42" t="s">
        <v>49</v>
      </c>
      <c r="D386" s="6"/>
      <c r="E386" s="6"/>
      <c r="F386" s="6"/>
      <c r="G386" s="6"/>
      <c r="H386" s="6"/>
      <c r="I386" s="6"/>
      <c r="J386" s="6"/>
      <c r="K386" s="6"/>
      <c r="L386" s="6"/>
      <c r="M386" s="93"/>
      <c r="AA386" s="11"/>
      <c r="AB386" s="11"/>
      <c r="AC386" s="11"/>
      <c r="AD386" s="11"/>
      <c r="AE386" s="11"/>
      <c r="AF386" s="11"/>
      <c r="AG386" s="11"/>
      <c r="AH386" s="11"/>
      <c r="AI386" s="11"/>
      <c r="AJ386" s="11"/>
      <c r="AK386" s="11"/>
      <c r="AL386" s="11"/>
      <c r="AM386" s="11"/>
      <c r="AN386" s="11"/>
      <c r="AO386" s="11"/>
      <c r="AP386" s="11"/>
      <c r="AQ386" s="11"/>
      <c r="AR386" s="11"/>
      <c r="AS386" s="11"/>
      <c r="AT386" s="11"/>
      <c r="AU386" s="11"/>
    </row>
    <row r="387" spans="1:104" x14ac:dyDescent="0.55000000000000004">
      <c r="B387" s="13" t="s">
        <v>370</v>
      </c>
      <c r="C387" s="7" t="s">
        <v>924</v>
      </c>
      <c r="D387" s="6"/>
      <c r="E387" s="6"/>
      <c r="F387" s="6"/>
      <c r="G387" s="6"/>
      <c r="H387" s="6"/>
      <c r="I387" s="6"/>
      <c r="J387" s="6"/>
      <c r="K387" s="6"/>
      <c r="L387" s="6"/>
      <c r="M387" s="93"/>
      <c r="AA387" s="11"/>
      <c r="AB387" s="11"/>
      <c r="AC387" s="11"/>
      <c r="AD387" s="11"/>
      <c r="AE387" s="11"/>
      <c r="AF387" s="11"/>
      <c r="AG387" s="11"/>
      <c r="AH387" s="11"/>
      <c r="AI387" s="11"/>
      <c r="AJ387" s="11"/>
      <c r="AK387" s="11"/>
      <c r="AL387" s="11"/>
      <c r="AM387" s="11"/>
      <c r="AN387" s="11"/>
      <c r="AO387" s="11"/>
      <c r="AP387" s="11"/>
      <c r="AQ387" s="11"/>
      <c r="AR387" s="11"/>
      <c r="AS387" s="11"/>
      <c r="AT387" s="11"/>
      <c r="AU387" s="11"/>
    </row>
    <row r="388" spans="1:104" x14ac:dyDescent="0.55000000000000004">
      <c r="B388" s="13" t="s">
        <v>371</v>
      </c>
      <c r="C388" s="7">
        <v>0</v>
      </c>
      <c r="D388" s="6"/>
      <c r="E388" s="6"/>
      <c r="F388" s="6"/>
      <c r="G388" s="6"/>
      <c r="H388" s="6"/>
      <c r="I388" s="6"/>
      <c r="J388" s="6"/>
      <c r="K388" s="6"/>
      <c r="L388" s="6"/>
      <c r="M388" s="93"/>
      <c r="AA388" s="11"/>
      <c r="AB388" s="11"/>
      <c r="AC388" s="11"/>
      <c r="AD388" s="11"/>
      <c r="AE388" s="11"/>
      <c r="AF388" s="11"/>
      <c r="AG388" s="11"/>
      <c r="AH388" s="11"/>
      <c r="AI388" s="11"/>
      <c r="AJ388" s="11"/>
      <c r="AK388" s="11"/>
      <c r="AL388" s="11"/>
      <c r="AM388" s="11"/>
      <c r="AN388" s="11"/>
      <c r="AO388" s="11"/>
      <c r="AP388" s="11"/>
      <c r="AQ388" s="11"/>
      <c r="AR388" s="11"/>
      <c r="AS388" s="11"/>
      <c r="AT388" s="11"/>
      <c r="AU388" s="11"/>
    </row>
    <row r="389" spans="1:104" x14ac:dyDescent="0.55000000000000004">
      <c r="B389" s="13" t="s">
        <v>455</v>
      </c>
      <c r="C389" s="7" t="s">
        <v>924</v>
      </c>
      <c r="D389" s="6"/>
      <c r="E389" s="6"/>
      <c r="F389" s="6"/>
      <c r="G389" s="6"/>
      <c r="H389" s="6"/>
      <c r="I389" s="6"/>
      <c r="J389" s="6"/>
      <c r="K389" s="6"/>
      <c r="L389" s="6"/>
      <c r="M389" s="93"/>
      <c r="AA389" s="11"/>
      <c r="AB389" s="11"/>
      <c r="AC389" s="11"/>
      <c r="AD389" s="11"/>
      <c r="AE389" s="11"/>
      <c r="AF389" s="11"/>
      <c r="AG389" s="11"/>
      <c r="AH389" s="11"/>
      <c r="AI389" s="11"/>
      <c r="AJ389" s="11"/>
      <c r="AK389" s="11"/>
      <c r="AL389" s="11"/>
      <c r="AM389" s="11"/>
      <c r="AN389" s="11"/>
      <c r="AO389" s="11"/>
      <c r="AP389" s="11"/>
      <c r="AQ389" s="11"/>
      <c r="AR389" s="11"/>
      <c r="AS389" s="11"/>
      <c r="AT389" s="11"/>
      <c r="AU389" s="11"/>
    </row>
    <row r="390" spans="1:104" x14ac:dyDescent="0.55000000000000004">
      <c r="B390" s="13" t="s">
        <v>372</v>
      </c>
      <c r="C390" s="7" t="s">
        <v>1552</v>
      </c>
      <c r="D390" s="6"/>
      <c r="E390" s="6"/>
      <c r="F390" s="6"/>
      <c r="G390" s="6"/>
      <c r="H390" s="6"/>
      <c r="I390" s="6"/>
      <c r="J390" s="6"/>
      <c r="K390" s="6"/>
      <c r="L390" s="6"/>
      <c r="M390" s="93"/>
      <c r="AA390" s="11"/>
      <c r="AB390" s="11"/>
      <c r="AC390" s="11"/>
      <c r="AD390" s="11"/>
      <c r="AE390" s="11"/>
      <c r="AF390" s="11"/>
      <c r="AG390" s="11"/>
      <c r="AH390" s="11"/>
      <c r="AI390" s="11"/>
      <c r="AJ390" s="11"/>
      <c r="AK390" s="11"/>
      <c r="AL390" s="11"/>
      <c r="AM390" s="11"/>
      <c r="AN390" s="11"/>
      <c r="AO390" s="11"/>
      <c r="AP390" s="11"/>
      <c r="AQ390" s="11"/>
      <c r="AR390" s="11"/>
      <c r="AS390" s="11"/>
      <c r="AT390" s="11"/>
      <c r="AU390" s="11"/>
    </row>
    <row r="391" spans="1:104" x14ac:dyDescent="0.55000000000000004">
      <c r="B391" s="13" t="s">
        <v>815</v>
      </c>
      <c r="C391" s="7">
        <v>1</v>
      </c>
      <c r="D391" s="6"/>
      <c r="E391" s="6"/>
      <c r="F391" s="6"/>
      <c r="G391" s="6"/>
      <c r="H391" s="6"/>
      <c r="I391" s="6"/>
      <c r="J391" s="6"/>
      <c r="K391" s="6"/>
      <c r="L391" s="6"/>
      <c r="M391" s="93"/>
      <c r="AA391" s="35"/>
      <c r="AB391" s="11"/>
      <c r="AC391" s="11"/>
      <c r="AD391" s="11"/>
      <c r="AE391" s="11"/>
      <c r="AF391" s="11"/>
      <c r="AG391" s="11"/>
      <c r="AH391" s="11"/>
      <c r="AI391" s="11"/>
      <c r="AJ391" s="11"/>
      <c r="AK391" s="11"/>
      <c r="AL391" s="11"/>
      <c r="AM391" s="11"/>
      <c r="AN391" s="11"/>
      <c r="AO391" s="11"/>
      <c r="AP391" s="11"/>
      <c r="AQ391" s="11"/>
      <c r="AR391" s="11"/>
      <c r="AS391" s="11"/>
      <c r="AT391" s="11"/>
      <c r="AU391" s="11"/>
    </row>
    <row r="392" spans="1:104" x14ac:dyDescent="0.55000000000000004">
      <c r="B392" s="13" t="s">
        <v>816</v>
      </c>
      <c r="C392" s="7">
        <v>50</v>
      </c>
      <c r="D392" s="6"/>
      <c r="E392" s="6"/>
      <c r="F392" s="6"/>
      <c r="G392" s="6"/>
      <c r="H392" s="6"/>
      <c r="I392" s="6"/>
      <c r="J392" s="6"/>
      <c r="K392" s="6"/>
      <c r="L392" s="6"/>
      <c r="M392" s="93"/>
      <c r="AA392" s="11"/>
      <c r="AB392" s="11"/>
      <c r="AC392" s="11"/>
      <c r="AD392" s="11"/>
      <c r="AE392" s="11"/>
      <c r="AF392" s="11"/>
      <c r="AG392" s="11"/>
      <c r="AH392" s="11"/>
      <c r="AI392" s="11"/>
      <c r="AJ392" s="11"/>
      <c r="AK392" s="11"/>
      <c r="AL392" s="11"/>
      <c r="AM392" s="11"/>
      <c r="AN392" s="11"/>
      <c r="AO392" s="11"/>
      <c r="AP392" s="11"/>
      <c r="AQ392" s="11"/>
      <c r="AR392" s="11"/>
      <c r="AS392" s="11"/>
      <c r="AT392" s="11"/>
      <c r="AU392" s="11"/>
    </row>
    <row r="393" spans="1:104" x14ac:dyDescent="0.55000000000000004">
      <c r="B393" s="21"/>
      <c r="C393" s="6" t="s">
        <v>394</v>
      </c>
      <c r="D393" s="6"/>
      <c r="E393" s="6"/>
      <c r="F393" s="6"/>
      <c r="G393" s="6"/>
      <c r="H393" s="6"/>
      <c r="I393" s="6"/>
      <c r="J393" s="6"/>
      <c r="K393" s="6"/>
      <c r="L393" s="6"/>
      <c r="M393" s="93"/>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c r="BC393" s="11"/>
      <c r="BD393" s="11"/>
      <c r="BE393" s="11"/>
      <c r="BF393" s="11"/>
      <c r="BG393" s="11"/>
      <c r="BH393" s="11"/>
      <c r="BI393" s="11"/>
      <c r="BJ393" s="11"/>
      <c r="BK393" s="11"/>
      <c r="BL393" s="11"/>
      <c r="BM393" s="11"/>
      <c r="BN393" s="11"/>
      <c r="BO393" s="11"/>
      <c r="BP393" s="11"/>
      <c r="BQ393" s="11"/>
      <c r="BR393" s="11"/>
      <c r="BS393" s="11"/>
      <c r="BT393" s="11"/>
      <c r="BU393" s="11"/>
      <c r="BV393" s="11"/>
      <c r="BW393" s="11"/>
      <c r="BX393" s="11"/>
      <c r="BY393" s="11"/>
      <c r="BZ393" s="11"/>
      <c r="CA393" s="11"/>
      <c r="CB393" s="11"/>
      <c r="CC393" s="11"/>
      <c r="CD393" s="11"/>
      <c r="CE393" s="11"/>
      <c r="CF393" s="11"/>
      <c r="CG393" s="11"/>
      <c r="CH393" s="11"/>
      <c r="CI393" s="11"/>
      <c r="CJ393" s="11"/>
      <c r="CK393" s="11"/>
      <c r="CL393" s="11"/>
      <c r="CM393" s="11"/>
      <c r="CN393" s="11"/>
      <c r="CO393" s="11"/>
      <c r="CP393" s="11"/>
      <c r="CQ393" s="11"/>
      <c r="CR393" s="11"/>
      <c r="CS393" s="11"/>
      <c r="CT393" s="11"/>
      <c r="CU393" s="11"/>
      <c r="CV393" s="11"/>
    </row>
    <row r="394" spans="1:104" x14ac:dyDescent="0.55000000000000004">
      <c r="A394" s="8" t="s">
        <v>1443</v>
      </c>
      <c r="B394" s="74" t="s">
        <v>453</v>
      </c>
      <c r="C394" s="42" t="s">
        <v>50</v>
      </c>
      <c r="D394" s="6" t="s">
        <v>51</v>
      </c>
      <c r="E394" s="6" t="s">
        <v>52</v>
      </c>
      <c r="F394" s="6" t="s">
        <v>1442</v>
      </c>
      <c r="G394" s="6" t="s">
        <v>1441</v>
      </c>
      <c r="H394" s="6"/>
      <c r="I394" s="6"/>
      <c r="J394" s="6"/>
      <c r="K394" s="6"/>
      <c r="L394" s="6"/>
      <c r="M394" s="93"/>
      <c r="Z394" s="11"/>
      <c r="AA394" s="11"/>
      <c r="AB394" s="11"/>
      <c r="AC394" s="11"/>
      <c r="AD394" s="11"/>
      <c r="AE394" s="11"/>
      <c r="AF394" s="11"/>
      <c r="AG394" s="11"/>
      <c r="AH394" s="11"/>
      <c r="AI394" s="11"/>
      <c r="AJ394" s="11"/>
      <c r="AK394" s="11"/>
      <c r="AL394" s="11"/>
      <c r="AM394" s="11"/>
      <c r="AN394" s="11"/>
      <c r="AO394" s="11"/>
      <c r="AP394" s="11"/>
      <c r="AQ394" s="11"/>
      <c r="AR394" s="11"/>
      <c r="AS394" s="11"/>
      <c r="AT394" s="11"/>
      <c r="AU394" s="11"/>
      <c r="AV394" s="11"/>
      <c r="AW394" s="11"/>
      <c r="AX394" s="11"/>
      <c r="AY394" s="11"/>
      <c r="AZ394" s="11"/>
      <c r="BA394" s="11"/>
      <c r="BB394" s="11"/>
      <c r="BC394" s="11"/>
      <c r="BD394" s="11"/>
      <c r="BE394" s="11"/>
      <c r="BF394" s="11"/>
      <c r="BG394" s="11"/>
      <c r="BH394" s="11"/>
      <c r="BI394" s="11"/>
      <c r="BJ394" s="11"/>
      <c r="BK394" s="11"/>
      <c r="BL394" s="11"/>
      <c r="BM394" s="11"/>
      <c r="BN394" s="11"/>
      <c r="BO394" s="11"/>
      <c r="BP394" s="11"/>
      <c r="BQ394" s="11"/>
      <c r="BR394" s="11"/>
      <c r="BS394" s="11"/>
      <c r="BT394" s="11"/>
      <c r="BU394" s="11"/>
      <c r="BV394" s="11"/>
      <c r="BW394" s="11"/>
      <c r="BX394" s="11"/>
      <c r="BY394" s="11"/>
      <c r="BZ394" s="11"/>
      <c r="CA394" s="11"/>
      <c r="CB394" s="11"/>
      <c r="CC394" s="11"/>
      <c r="CD394" s="11"/>
      <c r="CE394" s="11"/>
      <c r="CF394" s="11"/>
      <c r="CG394" s="11"/>
      <c r="CH394" s="11"/>
      <c r="CI394" s="11"/>
      <c r="CJ394" s="11"/>
      <c r="CK394" s="11"/>
      <c r="CL394" s="11"/>
      <c r="CM394" s="11"/>
      <c r="CN394" s="11"/>
      <c r="CO394" s="11"/>
      <c r="CP394" s="11"/>
      <c r="CQ394" s="11"/>
      <c r="CR394" s="11"/>
      <c r="CS394" s="11"/>
      <c r="CT394" s="11"/>
      <c r="CU394" s="11"/>
      <c r="CV394" s="11"/>
    </row>
    <row r="395" spans="1:104" x14ac:dyDescent="0.55000000000000004">
      <c r="A395" s="69" t="s">
        <v>1444</v>
      </c>
      <c r="B395" s="13" t="s">
        <v>1445</v>
      </c>
      <c r="C395" s="7" t="s">
        <v>2</v>
      </c>
      <c r="D395" s="7" t="s">
        <v>17</v>
      </c>
      <c r="E395" s="7">
        <v>1</v>
      </c>
      <c r="F395" s="7">
        <v>400</v>
      </c>
      <c r="G395" s="7" t="s">
        <v>924</v>
      </c>
      <c r="H395" s="5"/>
      <c r="I395" s="5"/>
      <c r="J395" s="5"/>
      <c r="K395" s="5"/>
      <c r="L395" s="5"/>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c r="BC395" s="11"/>
      <c r="BD395" s="11"/>
      <c r="BE395" s="11"/>
      <c r="BF395" s="11"/>
      <c r="BG395" s="11"/>
      <c r="BH395" s="11"/>
      <c r="BI395" s="11"/>
      <c r="BJ395" s="11"/>
      <c r="BK395" s="11"/>
      <c r="BL395" s="11"/>
      <c r="BM395" s="11"/>
      <c r="BN395" s="11"/>
      <c r="BO395" s="11"/>
      <c r="BP395" s="11"/>
      <c r="BQ395" s="11"/>
      <c r="BR395" s="11"/>
      <c r="BS395" s="11"/>
      <c r="BT395" s="11"/>
      <c r="BU395" s="11"/>
      <c r="BV395" s="11"/>
      <c r="BW395" s="11"/>
      <c r="BX395" s="11"/>
      <c r="BY395" s="11"/>
      <c r="BZ395" s="11"/>
      <c r="CA395" s="11"/>
      <c r="CB395" s="11"/>
      <c r="CC395" s="11"/>
      <c r="CD395" s="11"/>
      <c r="CE395" s="11"/>
      <c r="CF395" s="11"/>
      <c r="CG395" s="11"/>
      <c r="CH395" s="11"/>
      <c r="CI395" s="11"/>
      <c r="CJ395" s="11"/>
      <c r="CK395" s="11"/>
      <c r="CL395" s="11"/>
      <c r="CM395" s="11"/>
      <c r="CN395" s="11"/>
      <c r="CO395" s="11"/>
      <c r="CP395" s="11"/>
      <c r="CQ395" s="11"/>
      <c r="CR395" s="11"/>
      <c r="CS395" s="11"/>
      <c r="CT395" s="11"/>
      <c r="CU395" s="11"/>
      <c r="CV395" s="11"/>
      <c r="CW395" s="11"/>
      <c r="CX395" s="11"/>
      <c r="CY395" s="11"/>
      <c r="CZ395" s="11"/>
    </row>
    <row r="396" spans="1:104" x14ac:dyDescent="0.55000000000000004">
      <c r="B396" s="21"/>
      <c r="C396" s="6" t="s">
        <v>394</v>
      </c>
      <c r="D396" s="6"/>
      <c r="E396" s="6"/>
      <c r="F396" s="6"/>
      <c r="G396" s="6"/>
      <c r="H396" s="6"/>
      <c r="I396" s="6"/>
      <c r="J396" s="6"/>
      <c r="K396" s="6"/>
      <c r="L396" s="6"/>
      <c r="AA396" s="11"/>
      <c r="AB396" s="11"/>
      <c r="AC396" s="11"/>
      <c r="AD396" s="11"/>
      <c r="AE396" s="11"/>
      <c r="AF396" s="11"/>
      <c r="AG396" s="11"/>
      <c r="AH396" s="11"/>
      <c r="AI396" s="11"/>
      <c r="AJ396" s="11"/>
      <c r="AK396" s="11"/>
      <c r="AL396" s="11"/>
      <c r="AM396" s="11"/>
      <c r="AN396" s="11"/>
      <c r="AO396" s="11"/>
      <c r="AP396" s="11"/>
      <c r="AQ396" s="11"/>
      <c r="AR396" s="11"/>
      <c r="AS396" s="11"/>
      <c r="AT396" s="11"/>
      <c r="AU396" s="11"/>
      <c r="AV396" s="11"/>
      <c r="AW396" s="11"/>
      <c r="AX396" s="11"/>
      <c r="AY396" s="11"/>
      <c r="AZ396" s="11"/>
      <c r="BA396" s="11"/>
      <c r="BB396" s="11"/>
      <c r="BC396" s="11"/>
      <c r="BD396" s="11"/>
      <c r="BE396" s="11"/>
      <c r="BF396" s="11"/>
      <c r="BG396" s="11"/>
      <c r="BH396" s="11"/>
      <c r="BI396" s="11"/>
      <c r="BJ396" s="11"/>
      <c r="BK396" s="11"/>
      <c r="BL396" s="11"/>
      <c r="BM396" s="11"/>
      <c r="BN396" s="11"/>
      <c r="BO396" s="11"/>
      <c r="BP396" s="11"/>
      <c r="BQ396" s="11"/>
      <c r="BR396" s="11"/>
      <c r="BS396" s="11"/>
      <c r="BT396" s="11"/>
      <c r="BU396" s="11"/>
      <c r="BV396" s="11"/>
      <c r="BW396" s="11"/>
      <c r="BX396" s="11"/>
      <c r="BY396" s="11"/>
      <c r="BZ396" s="11"/>
      <c r="CA396" s="11"/>
      <c r="CB396" s="11"/>
      <c r="CC396" s="11"/>
      <c r="CD396" s="11"/>
      <c r="CE396" s="11"/>
      <c r="CF396" s="11"/>
      <c r="CG396" s="11"/>
      <c r="CH396" s="11"/>
      <c r="CI396" s="11"/>
      <c r="CJ396" s="11"/>
      <c r="CK396" s="11"/>
      <c r="CL396" s="11"/>
      <c r="CM396" s="11"/>
      <c r="CN396" s="11"/>
      <c r="CO396" s="11"/>
      <c r="CP396" s="11"/>
      <c r="CQ396" s="11"/>
      <c r="CR396" s="11"/>
      <c r="CS396" s="11"/>
      <c r="CT396" s="11"/>
      <c r="CU396" s="11"/>
      <c r="CV396" s="11"/>
      <c r="CW396" s="11"/>
      <c r="CX396" s="11"/>
      <c r="CY396" s="11"/>
      <c r="CZ396" s="11"/>
    </row>
    <row r="397" spans="1:104" x14ac:dyDescent="0.55000000000000004">
      <c r="B397" s="74" t="s">
        <v>1199</v>
      </c>
      <c r="C397" s="6" t="s">
        <v>96</v>
      </c>
      <c r="D397" s="6"/>
      <c r="E397" s="6"/>
      <c r="F397" s="6"/>
      <c r="G397" s="6"/>
      <c r="H397" s="6"/>
      <c r="I397" s="6"/>
      <c r="J397" s="6"/>
      <c r="K397" s="6"/>
      <c r="L397" s="6"/>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c r="BC397" s="11"/>
      <c r="BD397" s="11"/>
      <c r="BE397" s="11"/>
      <c r="BF397" s="11"/>
      <c r="BG397" s="11"/>
      <c r="BH397" s="11"/>
      <c r="BI397" s="11"/>
      <c r="BJ397" s="11"/>
      <c r="BK397" s="11"/>
      <c r="BL397" s="11"/>
      <c r="BM397" s="11"/>
      <c r="BN397" s="11"/>
      <c r="BO397" s="11"/>
      <c r="BP397" s="11"/>
      <c r="BQ397" s="11"/>
      <c r="BR397" s="11"/>
      <c r="BS397" s="11"/>
      <c r="BT397" s="11"/>
      <c r="BU397" s="11"/>
      <c r="BV397" s="11"/>
      <c r="BW397" s="11"/>
      <c r="BX397" s="11"/>
      <c r="BY397" s="11"/>
      <c r="BZ397" s="11"/>
      <c r="CA397" s="11"/>
      <c r="CB397" s="11"/>
      <c r="CC397" s="11"/>
      <c r="CD397" s="11"/>
      <c r="CE397" s="11"/>
      <c r="CF397" s="11"/>
      <c r="CG397" s="11"/>
      <c r="CH397" s="11"/>
      <c r="CI397" s="11"/>
      <c r="CJ397" s="11"/>
      <c r="CK397" s="11"/>
      <c r="CL397" s="11"/>
      <c r="CM397" s="11"/>
      <c r="CN397" s="11"/>
      <c r="CO397" s="11"/>
      <c r="CP397" s="11"/>
      <c r="CQ397" s="11"/>
      <c r="CR397" s="11"/>
      <c r="CS397" s="11"/>
      <c r="CT397" s="11"/>
      <c r="CU397" s="11"/>
      <c r="CV397" s="11"/>
      <c r="CW397" s="11"/>
      <c r="CX397" s="11"/>
      <c r="CY397" s="11"/>
      <c r="CZ397" s="11"/>
    </row>
    <row r="398" spans="1:104" x14ac:dyDescent="0.55000000000000004">
      <c r="B398" s="13" t="s">
        <v>1212</v>
      </c>
      <c r="C398" s="7" t="s">
        <v>17</v>
      </c>
      <c r="D398" s="6"/>
      <c r="E398" s="6"/>
      <c r="F398" s="6"/>
      <c r="G398" s="6"/>
      <c r="H398" s="6"/>
      <c r="I398" s="6"/>
      <c r="J398" s="6"/>
      <c r="K398" s="6"/>
      <c r="L398" s="6"/>
      <c r="AA398" s="11"/>
      <c r="AB398" s="11"/>
      <c r="AC398" s="11"/>
      <c r="AD398" s="11"/>
      <c r="AE398" s="11"/>
      <c r="AF398" s="11"/>
      <c r="AG398" s="11"/>
      <c r="AH398" s="11"/>
      <c r="AI398" s="11"/>
      <c r="AJ398" s="11"/>
      <c r="AK398" s="11"/>
      <c r="AL398" s="11"/>
      <c r="AM398" s="11"/>
      <c r="AN398" s="11"/>
      <c r="AO398" s="11"/>
      <c r="AP398" s="11"/>
      <c r="AQ398" s="11"/>
      <c r="AR398" s="11"/>
      <c r="AS398" s="11"/>
      <c r="AT398" s="11"/>
      <c r="AU398" s="11"/>
      <c r="AV398" s="11"/>
      <c r="AW398" s="11"/>
      <c r="AX398" s="11"/>
      <c r="AY398" s="11"/>
      <c r="AZ398" s="11"/>
      <c r="BA398" s="11"/>
      <c r="BB398" s="11"/>
      <c r="BC398" s="11"/>
      <c r="BD398" s="11"/>
      <c r="BE398" s="11"/>
      <c r="BF398" s="11"/>
      <c r="BG398" s="11"/>
      <c r="BH398" s="11"/>
      <c r="BI398" s="11"/>
      <c r="BJ398" s="11"/>
      <c r="BK398" s="11"/>
      <c r="BL398" s="11"/>
      <c r="BM398" s="11"/>
      <c r="BN398" s="11"/>
      <c r="BO398" s="11"/>
      <c r="BP398" s="11"/>
      <c r="BQ398" s="11"/>
      <c r="BR398" s="11"/>
      <c r="BS398" s="11"/>
      <c r="BT398" s="11"/>
      <c r="BU398" s="11"/>
      <c r="BV398" s="11"/>
      <c r="BW398" s="11"/>
      <c r="BX398" s="11"/>
      <c r="BY398" s="11"/>
      <c r="BZ398" s="11"/>
      <c r="CA398" s="11"/>
      <c r="CB398" s="11"/>
      <c r="CC398" s="11"/>
      <c r="CD398" s="11"/>
      <c r="CE398" s="11"/>
      <c r="CF398" s="11"/>
      <c r="CG398" s="11"/>
      <c r="CH398" s="11"/>
      <c r="CI398" s="11"/>
      <c r="CJ398" s="11"/>
      <c r="CK398" s="11"/>
      <c r="CL398" s="11"/>
      <c r="CM398" s="11"/>
      <c r="CN398" s="11"/>
      <c r="CO398" s="11"/>
      <c r="CP398" s="11"/>
      <c r="CQ398" s="11"/>
      <c r="CR398" s="11"/>
      <c r="CS398" s="11"/>
      <c r="CT398" s="11"/>
      <c r="CU398" s="11"/>
      <c r="CV398" s="11"/>
      <c r="CW398" s="11"/>
      <c r="CX398" s="11"/>
      <c r="CY398" s="11"/>
      <c r="CZ398" s="11"/>
    </row>
    <row r="399" spans="1:104" x14ac:dyDescent="0.55000000000000004">
      <c r="B399" s="13" t="s">
        <v>1211</v>
      </c>
      <c r="C399" s="7" t="s">
        <v>17</v>
      </c>
      <c r="D399" s="6"/>
      <c r="E399" s="6"/>
      <c r="F399" s="6"/>
      <c r="G399" s="6"/>
      <c r="H399" s="6"/>
      <c r="I399" s="6"/>
      <c r="J399" s="6"/>
      <c r="K399" s="6"/>
      <c r="L399" s="6"/>
      <c r="M399" s="98"/>
    </row>
    <row r="400" spans="1:104" ht="15.6" x14ac:dyDescent="0.6">
      <c r="A400" s="36" t="s">
        <v>888</v>
      </c>
      <c r="B400" s="103">
        <f>C22+D22+NAL+G22*3+32+I22+4</f>
        <v>36</v>
      </c>
      <c r="C400" s="6"/>
      <c r="D400" s="6"/>
      <c r="E400" s="6"/>
      <c r="F400" s="5"/>
      <c r="G400" s="6"/>
      <c r="H400" s="6" t="s">
        <v>917</v>
      </c>
      <c r="I400" s="6"/>
      <c r="J400" s="6"/>
      <c r="K400" s="6"/>
      <c r="L400" s="6"/>
      <c r="M400" s="23"/>
      <c r="AA400" s="11"/>
      <c r="AB400" s="11"/>
      <c r="AC400" s="11"/>
      <c r="AD400" s="11"/>
      <c r="AE400" s="11"/>
      <c r="AF400" s="11"/>
      <c r="AG400" s="11"/>
      <c r="AH400" s="11"/>
      <c r="AI400" s="11"/>
      <c r="AJ400" s="11"/>
      <c r="AK400" s="11"/>
      <c r="AL400" s="11"/>
      <c r="AM400" s="11"/>
      <c r="AN400" s="11"/>
      <c r="AO400" s="11"/>
      <c r="AP400" s="11"/>
      <c r="AQ400" s="11"/>
      <c r="AR400" s="11"/>
      <c r="AS400" s="11"/>
      <c r="AT400" s="11"/>
      <c r="AU400" s="11"/>
      <c r="AV400" s="11"/>
      <c r="AW400" s="11"/>
      <c r="AX400" s="11"/>
      <c r="AY400" s="11"/>
      <c r="AZ400" s="11"/>
      <c r="BA400" s="11"/>
      <c r="BB400" s="11"/>
      <c r="BC400" s="11"/>
      <c r="BD400" s="11"/>
      <c r="BE400" s="11"/>
      <c r="BF400" s="11"/>
      <c r="BG400" s="11"/>
      <c r="BH400" s="11"/>
      <c r="BI400" s="11"/>
      <c r="BJ400" s="11"/>
      <c r="BK400" s="11"/>
      <c r="BL400" s="11"/>
      <c r="BM400" s="11"/>
      <c r="BN400" s="11"/>
      <c r="BO400" s="11"/>
      <c r="BP400" s="11"/>
      <c r="BQ400" s="11"/>
      <c r="BR400" s="11"/>
      <c r="BS400" s="11"/>
      <c r="BT400" s="11"/>
      <c r="BU400" s="11"/>
      <c r="BV400" s="11"/>
      <c r="BW400" s="11"/>
      <c r="BX400" s="11"/>
      <c r="BY400" s="11"/>
      <c r="BZ400" s="11"/>
      <c r="CA400" s="11"/>
      <c r="CB400" s="11"/>
      <c r="CC400" s="11"/>
      <c r="CD400" s="11"/>
      <c r="CE400" s="11"/>
      <c r="CF400" s="11"/>
      <c r="CG400" s="11"/>
      <c r="CH400" s="11"/>
      <c r="CI400" s="11"/>
      <c r="CJ400" s="11"/>
      <c r="CK400" s="11"/>
      <c r="CL400" s="11"/>
      <c r="CM400" s="11"/>
      <c r="CN400" s="11"/>
      <c r="CO400" s="11"/>
      <c r="CP400" s="11"/>
      <c r="CQ400" s="11"/>
      <c r="CR400" s="11"/>
      <c r="CS400" s="11"/>
      <c r="CT400" s="11"/>
      <c r="CU400" s="11"/>
      <c r="CV400" s="11"/>
      <c r="CW400" s="11"/>
      <c r="CX400" s="11"/>
      <c r="CY400" s="11"/>
      <c r="CZ400" s="11"/>
    </row>
    <row r="401" spans="1:104" x14ac:dyDescent="0.55000000000000004">
      <c r="B401" s="74" t="s">
        <v>454</v>
      </c>
      <c r="C401" s="6" t="s">
        <v>451</v>
      </c>
      <c r="D401" s="5" t="s">
        <v>954</v>
      </c>
      <c r="E401" s="6" t="s">
        <v>955</v>
      </c>
      <c r="F401" s="6" t="s">
        <v>956</v>
      </c>
      <c r="G401" s="6" t="s">
        <v>957</v>
      </c>
      <c r="H401" s="6" t="s">
        <v>958</v>
      </c>
      <c r="I401" s="6" t="s">
        <v>959</v>
      </c>
      <c r="J401" s="46" t="s">
        <v>1200</v>
      </c>
      <c r="K401" s="6" t="s">
        <v>960</v>
      </c>
      <c r="L401" s="6" t="s">
        <v>1093</v>
      </c>
      <c r="M401" s="6" t="s">
        <v>1094</v>
      </c>
      <c r="N401" s="6" t="s">
        <v>1185</v>
      </c>
      <c r="O401" s="98"/>
      <c r="P401" s="102"/>
      <c r="Q401" s="11"/>
      <c r="R401" s="11"/>
      <c r="S401" s="11"/>
      <c r="T401" s="11"/>
      <c r="U401" s="11"/>
      <c r="V401" s="11"/>
      <c r="W401" s="11"/>
      <c r="X401" s="11"/>
      <c r="Y401" s="11"/>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c r="BC401" s="11"/>
      <c r="BD401" s="11"/>
      <c r="BE401" s="11"/>
      <c r="BF401" s="11"/>
      <c r="BG401" s="11"/>
      <c r="BH401" s="11"/>
      <c r="BI401" s="11"/>
      <c r="BJ401" s="11"/>
      <c r="BK401" s="11"/>
      <c r="BL401" s="11"/>
      <c r="BM401" s="11"/>
      <c r="BN401" s="11"/>
      <c r="BO401" s="11"/>
      <c r="BP401" s="11"/>
      <c r="BQ401" s="11"/>
      <c r="BR401" s="11"/>
      <c r="BS401" s="11"/>
      <c r="BT401" s="11"/>
      <c r="BU401" s="11"/>
      <c r="BV401" s="11"/>
      <c r="BW401" s="11"/>
      <c r="BX401" s="11"/>
      <c r="BY401" s="11"/>
      <c r="BZ401" s="11"/>
      <c r="CA401" s="11"/>
      <c r="CB401" s="11"/>
      <c r="CC401" s="11"/>
      <c r="CD401" s="11"/>
      <c r="CE401" s="11"/>
      <c r="CF401" s="11"/>
      <c r="CG401" s="11"/>
      <c r="CH401" s="11"/>
      <c r="CI401" s="11"/>
      <c r="CJ401" s="11"/>
      <c r="CK401" s="11"/>
      <c r="CL401" s="11"/>
      <c r="CM401" s="11"/>
      <c r="CN401" s="11"/>
      <c r="CO401" s="11"/>
      <c r="CP401" s="11"/>
      <c r="CQ401" s="11"/>
      <c r="CR401" s="11"/>
      <c r="CS401" s="11"/>
      <c r="CT401" s="11"/>
      <c r="CU401" s="11"/>
      <c r="CV401" s="11"/>
      <c r="CW401" s="11"/>
      <c r="CX401" s="11"/>
      <c r="CY401" s="11"/>
      <c r="CZ401" s="11"/>
    </row>
    <row r="402" spans="1:104" x14ac:dyDescent="0.55000000000000004">
      <c r="A402" t="s">
        <v>540</v>
      </c>
      <c r="B402" s="15">
        <v>1</v>
      </c>
      <c r="C402" s="7" t="s">
        <v>961</v>
      </c>
      <c r="D402" s="7" t="s">
        <v>1168</v>
      </c>
      <c r="E402" s="7" t="s">
        <v>17</v>
      </c>
      <c r="F402" s="7" t="s">
        <v>1141</v>
      </c>
      <c r="G402" s="7">
        <v>1</v>
      </c>
      <c r="H402" s="7">
        <v>0</v>
      </c>
      <c r="I402" s="7" t="s">
        <v>924</v>
      </c>
      <c r="J402" s="40" t="s">
        <v>17</v>
      </c>
      <c r="K402" s="7" t="s">
        <v>924</v>
      </c>
      <c r="L402" s="7" t="s">
        <v>924</v>
      </c>
      <c r="M402" s="7" t="s">
        <v>924</v>
      </c>
      <c r="N402" s="7" t="s">
        <v>924</v>
      </c>
      <c r="O402" s="98"/>
      <c r="P402" s="102"/>
      <c r="Q402" s="11"/>
      <c r="R402" s="11"/>
      <c r="S402" s="11"/>
      <c r="T402" s="11"/>
      <c r="U402" s="11"/>
      <c r="V402" s="11"/>
      <c r="W402" s="11"/>
      <c r="X402" s="11"/>
      <c r="Y402" s="11"/>
      <c r="Z402" s="11"/>
      <c r="AA402" s="11"/>
      <c r="AB402" s="11"/>
      <c r="AC402" s="11"/>
      <c r="AD402" s="11"/>
      <c r="AE402" s="11"/>
      <c r="AF402" s="11"/>
      <c r="AG402" s="11"/>
      <c r="AH402" s="11"/>
      <c r="AI402" s="11"/>
      <c r="AJ402" s="11"/>
      <c r="AK402" s="11"/>
      <c r="AL402" s="11"/>
      <c r="AM402" s="11"/>
      <c r="AN402" s="11"/>
      <c r="AO402" s="11"/>
      <c r="AP402" s="11"/>
      <c r="AQ402" s="11"/>
      <c r="AR402" s="11"/>
      <c r="AS402" s="11"/>
      <c r="AT402" s="11"/>
      <c r="AU402" s="11"/>
      <c r="AV402" s="11"/>
      <c r="AW402" s="11"/>
      <c r="AX402" s="11"/>
      <c r="AY402" s="11"/>
      <c r="AZ402" s="11"/>
      <c r="BA402" s="11"/>
      <c r="BB402" s="11"/>
      <c r="BC402" s="11"/>
      <c r="BD402" s="11"/>
      <c r="BE402" s="11"/>
      <c r="BF402" s="11"/>
      <c r="BG402" s="11"/>
      <c r="BH402" s="11"/>
      <c r="BI402" s="11"/>
      <c r="BJ402" s="11"/>
      <c r="BK402" s="11"/>
      <c r="BL402" s="11"/>
      <c r="BM402" s="11"/>
      <c r="BN402" s="11"/>
      <c r="BO402" s="11"/>
      <c r="BP402" s="11"/>
      <c r="BQ402" s="11"/>
      <c r="BR402" s="11"/>
      <c r="BS402" s="11"/>
      <c r="BT402" s="11"/>
      <c r="BU402" s="11"/>
      <c r="BV402" s="11"/>
      <c r="BW402" s="11"/>
      <c r="BX402" s="11"/>
      <c r="BY402" s="11"/>
      <c r="BZ402" s="11"/>
      <c r="CA402" s="11"/>
      <c r="CB402" s="11"/>
      <c r="CC402" s="11"/>
      <c r="CD402" s="11"/>
      <c r="CE402" s="11"/>
      <c r="CF402" s="11"/>
      <c r="CG402" s="11"/>
      <c r="CH402" s="11"/>
      <c r="CI402" s="11"/>
      <c r="CJ402" s="11"/>
      <c r="CK402" s="11"/>
      <c r="CL402" s="11"/>
      <c r="CM402" s="11"/>
      <c r="CN402" s="11"/>
      <c r="CO402" s="11"/>
      <c r="CP402" s="11"/>
      <c r="CQ402" s="11"/>
      <c r="CR402" s="11"/>
      <c r="CS402" s="11"/>
      <c r="CT402" s="11"/>
      <c r="CU402" s="11"/>
      <c r="CV402" s="11"/>
      <c r="CW402" s="11"/>
      <c r="CX402" s="11"/>
      <c r="CY402" s="11"/>
      <c r="CZ402" s="11"/>
    </row>
    <row r="403" spans="1:104" x14ac:dyDescent="0.55000000000000004">
      <c r="B403" s="13">
        <v>2</v>
      </c>
      <c r="C403" s="16" t="s">
        <v>1513</v>
      </c>
      <c r="D403" s="76" t="s">
        <v>670</v>
      </c>
      <c r="E403" s="77" t="s">
        <v>924</v>
      </c>
      <c r="F403" s="77" t="s">
        <v>1141</v>
      </c>
      <c r="G403" s="77">
        <v>1</v>
      </c>
      <c r="H403" s="7">
        <v>0</v>
      </c>
      <c r="I403" s="7" t="s">
        <v>924</v>
      </c>
      <c r="J403" s="40" t="s">
        <v>17</v>
      </c>
      <c r="K403" s="7" t="s">
        <v>924</v>
      </c>
      <c r="L403" s="7" t="s">
        <v>924</v>
      </c>
      <c r="M403" s="7" t="s">
        <v>924</v>
      </c>
      <c r="N403" s="7" t="s">
        <v>924</v>
      </c>
      <c r="O403" s="98"/>
      <c r="P403" s="102"/>
      <c r="Q403" s="11"/>
      <c r="R403" s="11"/>
      <c r="S403" s="11"/>
      <c r="T403" s="11"/>
      <c r="U403" s="11"/>
      <c r="V403" s="11"/>
      <c r="W403" s="11"/>
      <c r="X403" s="11"/>
      <c r="Y403" s="11"/>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c r="BC403" s="11"/>
      <c r="BD403" s="11"/>
      <c r="BE403" s="11"/>
      <c r="BF403" s="11"/>
      <c r="BG403" s="11"/>
      <c r="BH403" s="11"/>
      <c r="BI403" s="11"/>
      <c r="BJ403" s="11"/>
      <c r="BK403" s="11"/>
      <c r="BL403" s="11"/>
      <c r="BM403" s="11"/>
      <c r="BN403" s="11"/>
      <c r="BO403" s="11"/>
      <c r="BP403" s="11"/>
      <c r="BQ403" s="11"/>
      <c r="BR403" s="11"/>
      <c r="BS403" s="11"/>
      <c r="BT403" s="11"/>
      <c r="BU403" s="11"/>
      <c r="BV403" s="11"/>
      <c r="BW403" s="11"/>
      <c r="BX403" s="11"/>
      <c r="BY403" s="11"/>
      <c r="BZ403" s="11"/>
      <c r="CA403" s="11"/>
      <c r="CB403" s="11"/>
      <c r="CC403" s="11"/>
      <c r="CD403" s="11"/>
      <c r="CE403" s="11"/>
      <c r="CF403" s="11"/>
      <c r="CG403" s="11"/>
      <c r="CH403" s="11"/>
      <c r="CI403" s="11"/>
      <c r="CJ403" s="11"/>
      <c r="CK403" s="11"/>
      <c r="CL403" s="11"/>
      <c r="CM403" s="11"/>
      <c r="CN403" s="11"/>
      <c r="CO403" s="11"/>
      <c r="CP403" s="11"/>
      <c r="CQ403" s="11"/>
      <c r="CR403" s="11"/>
      <c r="CS403" s="11"/>
      <c r="CT403" s="11"/>
      <c r="CU403" s="11"/>
      <c r="CV403" s="11"/>
      <c r="CW403" s="11"/>
      <c r="CX403" s="11"/>
      <c r="CY403" s="11"/>
      <c r="CZ403" s="11"/>
    </row>
    <row r="404" spans="1:104" x14ac:dyDescent="0.55000000000000004">
      <c r="A404" s="44" t="s">
        <v>1196</v>
      </c>
      <c r="B404" s="15">
        <v>3</v>
      </c>
      <c r="C404" s="16" t="s">
        <v>1514</v>
      </c>
      <c r="D404" s="76" t="s">
        <v>672</v>
      </c>
      <c r="E404" s="7" t="s">
        <v>924</v>
      </c>
      <c r="F404" s="77" t="s">
        <v>1141</v>
      </c>
      <c r="G404" s="77">
        <v>1</v>
      </c>
      <c r="H404" s="7">
        <v>0</v>
      </c>
      <c r="I404" s="7" t="s">
        <v>924</v>
      </c>
      <c r="J404" s="40" t="s">
        <v>17</v>
      </c>
      <c r="K404" s="7" t="s">
        <v>924</v>
      </c>
      <c r="L404" s="7" t="s">
        <v>924</v>
      </c>
      <c r="M404" s="7" t="s">
        <v>924</v>
      </c>
      <c r="N404" s="7" t="s">
        <v>924</v>
      </c>
      <c r="O404" s="98"/>
      <c r="P404" s="102"/>
      <c r="Q404" s="11"/>
      <c r="R404" s="11"/>
      <c r="S404" s="11"/>
      <c r="T404" s="11"/>
      <c r="U404" s="11"/>
      <c r="V404" s="11"/>
      <c r="W404" s="11"/>
      <c r="X404" s="11"/>
      <c r="Y404" s="11"/>
      <c r="Z404" s="11"/>
      <c r="AA404" s="11"/>
      <c r="AB404" s="11"/>
      <c r="AC404" s="11"/>
      <c r="AD404" s="11"/>
      <c r="AE404" s="11"/>
      <c r="AF404" s="11"/>
      <c r="AG404" s="11"/>
      <c r="AH404" s="11"/>
      <c r="AI404" s="11"/>
      <c r="AJ404" s="11"/>
      <c r="AK404" s="11"/>
      <c r="AL404" s="11"/>
      <c r="AM404" s="11"/>
      <c r="AN404" s="11"/>
      <c r="AO404" s="11"/>
      <c r="AP404" s="11"/>
      <c r="AQ404" s="11"/>
      <c r="AR404" s="11"/>
      <c r="AS404" s="11"/>
      <c r="AT404" s="11"/>
      <c r="AU404" s="11"/>
      <c r="AV404" s="11"/>
      <c r="AW404" s="11"/>
      <c r="AX404" s="11"/>
      <c r="AY404" s="11"/>
      <c r="AZ404" s="11"/>
      <c r="BA404" s="11"/>
      <c r="BB404" s="11"/>
      <c r="BC404" s="11"/>
      <c r="BD404" s="11"/>
      <c r="BE404" s="11"/>
      <c r="BF404" s="11"/>
      <c r="BG404" s="11"/>
      <c r="BH404" s="11"/>
      <c r="BI404" s="11"/>
      <c r="BJ404" s="11"/>
      <c r="BK404" s="11"/>
      <c r="BL404" s="11"/>
      <c r="BM404" s="11"/>
      <c r="BN404" s="11"/>
      <c r="BO404" s="11"/>
      <c r="BP404" s="11"/>
      <c r="BQ404" s="11"/>
      <c r="BR404" s="11"/>
      <c r="BS404" s="11"/>
      <c r="BT404" s="11"/>
      <c r="BU404" s="11"/>
      <c r="BV404" s="11"/>
      <c r="BW404" s="11"/>
      <c r="BX404" s="11"/>
      <c r="BY404" s="11"/>
      <c r="BZ404" s="11"/>
      <c r="CA404" s="11"/>
      <c r="CB404" s="11"/>
      <c r="CC404" s="11"/>
      <c r="CD404" s="11"/>
      <c r="CE404" s="11"/>
      <c r="CF404" s="11"/>
      <c r="CG404" s="11"/>
      <c r="CH404" s="11"/>
      <c r="CI404" s="11"/>
      <c r="CJ404" s="11"/>
      <c r="CK404" s="11"/>
      <c r="CL404" s="11"/>
      <c r="CM404" s="11"/>
      <c r="CN404" s="11"/>
      <c r="CO404" s="11"/>
      <c r="CP404" s="11"/>
      <c r="CQ404" s="11"/>
      <c r="CR404" s="11"/>
      <c r="CS404" s="11"/>
      <c r="CT404" s="11"/>
      <c r="CU404" s="11"/>
      <c r="CV404" s="11"/>
      <c r="CW404" s="11"/>
      <c r="CX404" s="11"/>
      <c r="CY404" s="11"/>
      <c r="CZ404" s="11"/>
    </row>
    <row r="405" spans="1:104" x14ac:dyDescent="0.55000000000000004">
      <c r="A405" s="30" t="s">
        <v>1197</v>
      </c>
      <c r="B405" s="13">
        <v>4</v>
      </c>
      <c r="C405" s="7" t="s">
        <v>1515</v>
      </c>
      <c r="D405" s="7" t="s">
        <v>1516</v>
      </c>
      <c r="E405" s="7" t="s">
        <v>924</v>
      </c>
      <c r="F405" s="77" t="s">
        <v>1141</v>
      </c>
      <c r="G405" s="77">
        <v>1</v>
      </c>
      <c r="H405" s="7">
        <v>0</v>
      </c>
      <c r="I405" s="7" t="s">
        <v>924</v>
      </c>
      <c r="J405" s="40" t="s">
        <v>17</v>
      </c>
      <c r="K405" s="7" t="s">
        <v>924</v>
      </c>
      <c r="L405" s="7" t="s">
        <v>924</v>
      </c>
      <c r="M405" s="7" t="s">
        <v>924</v>
      </c>
      <c r="N405" s="7" t="s">
        <v>924</v>
      </c>
      <c r="O405" s="98"/>
      <c r="P405" s="102"/>
      <c r="Q405" s="11"/>
      <c r="R405" s="11"/>
      <c r="S405" s="11"/>
      <c r="T405" s="11"/>
      <c r="U405" s="11"/>
      <c r="V405" s="11"/>
      <c r="W405" s="11"/>
      <c r="X405" s="11"/>
      <c r="Y405" s="11"/>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c r="BC405" s="11"/>
      <c r="BD405" s="11"/>
      <c r="BE405" s="11"/>
      <c r="BF405" s="11"/>
      <c r="BG405" s="11"/>
      <c r="BH405" s="11"/>
      <c r="BI405" s="11"/>
      <c r="BJ405" s="11"/>
      <c r="BK405" s="11"/>
      <c r="BL405" s="11"/>
      <c r="BM405" s="11"/>
      <c r="BN405" s="11"/>
      <c r="BO405" s="11"/>
      <c r="BP405" s="11"/>
      <c r="BQ405" s="11"/>
      <c r="BR405" s="11"/>
      <c r="BS405" s="11"/>
      <c r="BT405" s="11"/>
      <c r="BU405" s="11"/>
      <c r="BV405" s="11"/>
      <c r="BW405" s="11"/>
      <c r="BX405" s="11"/>
      <c r="BY405" s="11"/>
      <c r="BZ405" s="11"/>
      <c r="CA405" s="11"/>
      <c r="CB405" s="11"/>
      <c r="CC405" s="11"/>
      <c r="CD405" s="11"/>
      <c r="CE405" s="11"/>
      <c r="CF405" s="11"/>
      <c r="CG405" s="11"/>
      <c r="CH405" s="11"/>
      <c r="CI405" s="11"/>
      <c r="CJ405" s="11"/>
      <c r="CK405" s="11"/>
      <c r="CL405" s="11"/>
      <c r="CM405" s="11"/>
      <c r="CN405" s="11"/>
      <c r="CO405" s="11"/>
      <c r="CP405" s="11"/>
      <c r="CQ405" s="11"/>
      <c r="CR405" s="11"/>
      <c r="CS405" s="11"/>
      <c r="CT405" s="11"/>
      <c r="CU405" s="11"/>
      <c r="CV405" s="11"/>
      <c r="CW405" s="11"/>
      <c r="CX405" s="11"/>
      <c r="CY405" s="11"/>
      <c r="CZ405" s="11"/>
    </row>
    <row r="406" spans="1:104" x14ac:dyDescent="0.55000000000000004">
      <c r="A406" s="30" t="s">
        <v>1615</v>
      </c>
      <c r="B406" s="15">
        <v>5</v>
      </c>
      <c r="C406" s="7" t="s">
        <v>1517</v>
      </c>
      <c r="D406" s="7" t="s">
        <v>1518</v>
      </c>
      <c r="E406" s="7" t="s">
        <v>940</v>
      </c>
      <c r="F406" s="77" t="s">
        <v>1141</v>
      </c>
      <c r="G406" s="77">
        <v>1</v>
      </c>
      <c r="H406" s="7">
        <v>19.803000000000001</v>
      </c>
      <c r="I406" s="7" t="s">
        <v>940</v>
      </c>
      <c r="J406" s="40" t="s">
        <v>17</v>
      </c>
      <c r="K406" s="7" t="s">
        <v>940</v>
      </c>
      <c r="L406" s="7" t="s">
        <v>924</v>
      </c>
      <c r="M406" s="7" t="s">
        <v>2</v>
      </c>
      <c r="N406" s="7" t="s">
        <v>924</v>
      </c>
      <c r="O406" s="98"/>
      <c r="P406" s="102"/>
      <c r="Q406" s="11"/>
      <c r="R406" s="11"/>
      <c r="S406" s="11"/>
      <c r="T406" s="11"/>
      <c r="U406" s="11"/>
      <c r="V406" s="11"/>
      <c r="W406" s="11"/>
      <c r="X406" s="11"/>
      <c r="Y406" s="11"/>
      <c r="Z406" s="11"/>
      <c r="AA406" s="11"/>
      <c r="AB406" s="11"/>
      <c r="AC406" s="11"/>
      <c r="AD406" s="11"/>
      <c r="AE406" s="11"/>
      <c r="AF406" s="11"/>
      <c r="AG406" s="11"/>
      <c r="AH406" s="11"/>
      <c r="AI406" s="11"/>
      <c r="AJ406" s="11"/>
      <c r="AK406" s="11"/>
      <c r="AL406" s="11"/>
      <c r="AM406" s="11"/>
      <c r="AN406" s="11"/>
      <c r="AO406" s="11"/>
      <c r="AP406" s="11"/>
      <c r="AQ406" s="11"/>
      <c r="AR406" s="11"/>
      <c r="AS406" s="11"/>
      <c r="AT406" s="11"/>
      <c r="AU406" s="11"/>
      <c r="AV406" s="11"/>
      <c r="AW406" s="11"/>
      <c r="AX406" s="11"/>
      <c r="AY406" s="11"/>
      <c r="AZ406" s="11"/>
      <c r="BA406" s="11"/>
      <c r="BB406" s="11"/>
      <c r="BC406" s="11"/>
      <c r="BD406" s="11"/>
      <c r="BE406" s="11"/>
      <c r="BF406" s="11"/>
      <c r="BG406" s="11"/>
      <c r="BH406" s="11"/>
      <c r="BI406" s="11"/>
      <c r="BJ406" s="11"/>
      <c r="BK406" s="11"/>
      <c r="BL406" s="11"/>
      <c r="BM406" s="11"/>
      <c r="BN406" s="11"/>
      <c r="BO406" s="11"/>
      <c r="BP406" s="11"/>
      <c r="BQ406" s="11"/>
      <c r="BR406" s="11"/>
      <c r="BS406" s="11"/>
      <c r="BT406" s="11"/>
      <c r="BU406" s="11"/>
      <c r="BV406" s="11"/>
      <c r="BW406" s="11"/>
      <c r="BX406" s="11"/>
      <c r="BY406" s="11"/>
      <c r="BZ406" s="11"/>
      <c r="CA406" s="11"/>
      <c r="CB406" s="11"/>
      <c r="CC406" s="11"/>
      <c r="CD406" s="11"/>
      <c r="CE406" s="11"/>
      <c r="CF406" s="11"/>
      <c r="CG406" s="11"/>
      <c r="CH406" s="11"/>
      <c r="CI406" s="11"/>
      <c r="CJ406" s="11"/>
      <c r="CK406" s="11"/>
      <c r="CL406" s="11"/>
      <c r="CM406" s="11"/>
      <c r="CN406" s="11"/>
      <c r="CO406" s="11"/>
      <c r="CP406" s="11"/>
      <c r="CQ406" s="11"/>
      <c r="CR406" s="11"/>
      <c r="CS406" s="11"/>
      <c r="CT406" s="11"/>
      <c r="CU406" s="11"/>
      <c r="CV406" s="11"/>
      <c r="CW406" s="11"/>
      <c r="CX406" s="11"/>
      <c r="CY406" s="11"/>
      <c r="CZ406" s="11"/>
    </row>
    <row r="407" spans="1:104" x14ac:dyDescent="0.55000000000000004">
      <c r="A407" s="30" t="s">
        <v>1614</v>
      </c>
      <c r="B407" s="13">
        <v>6</v>
      </c>
      <c r="C407" s="7" t="s">
        <v>1485</v>
      </c>
      <c r="D407" s="7" t="s">
        <v>1519</v>
      </c>
      <c r="E407" s="7" t="s">
        <v>924</v>
      </c>
      <c r="F407" s="77" t="s">
        <v>1141</v>
      </c>
      <c r="G407" s="77">
        <v>1</v>
      </c>
      <c r="H407" s="7">
        <v>0</v>
      </c>
      <c r="I407" s="7" t="s">
        <v>924</v>
      </c>
      <c r="J407" s="40" t="s">
        <v>17</v>
      </c>
      <c r="K407" s="7" t="s">
        <v>924</v>
      </c>
      <c r="L407" s="7" t="s">
        <v>924</v>
      </c>
      <c r="M407" s="7" t="s">
        <v>924</v>
      </c>
      <c r="N407" s="7" t="s">
        <v>924</v>
      </c>
      <c r="O407" s="98"/>
      <c r="P407" s="102"/>
      <c r="Q407" s="11"/>
      <c r="R407" s="11"/>
      <c r="S407" s="11"/>
      <c r="T407" s="11"/>
      <c r="U407" s="11"/>
      <c r="V407" s="11"/>
      <c r="W407" s="11"/>
      <c r="X407" s="11"/>
      <c r="Y407" s="11"/>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c r="BC407" s="11"/>
      <c r="BD407" s="11"/>
      <c r="BE407" s="11"/>
      <c r="BF407" s="11"/>
      <c r="BG407" s="11"/>
      <c r="BH407" s="11"/>
      <c r="BI407" s="11"/>
      <c r="BJ407" s="11"/>
      <c r="BK407" s="11"/>
      <c r="BL407" s="11"/>
      <c r="BM407" s="11"/>
      <c r="BN407" s="11"/>
      <c r="BO407" s="11"/>
      <c r="BP407" s="11"/>
      <c r="BQ407" s="11"/>
      <c r="BR407" s="11"/>
      <c r="BS407" s="11"/>
      <c r="BT407" s="11"/>
      <c r="BU407" s="11"/>
      <c r="BV407" s="11"/>
      <c r="BW407" s="11"/>
      <c r="BX407" s="11"/>
      <c r="BY407" s="11"/>
      <c r="BZ407" s="11"/>
      <c r="CA407" s="11"/>
      <c r="CB407" s="11"/>
      <c r="CC407" s="11"/>
      <c r="CD407" s="11"/>
      <c r="CE407" s="11"/>
      <c r="CF407" s="11"/>
      <c r="CG407" s="11"/>
      <c r="CH407" s="11"/>
      <c r="CI407" s="11"/>
      <c r="CJ407" s="11"/>
      <c r="CK407" s="11"/>
      <c r="CL407" s="11"/>
      <c r="CM407" s="11"/>
      <c r="CN407" s="11"/>
      <c r="CO407" s="11"/>
      <c r="CP407" s="11"/>
      <c r="CQ407" s="11"/>
      <c r="CR407" s="11"/>
      <c r="CS407" s="11"/>
      <c r="CT407" s="11"/>
      <c r="CU407" s="11"/>
      <c r="CV407" s="11"/>
      <c r="CW407" s="11"/>
      <c r="CX407" s="11"/>
      <c r="CY407" s="11"/>
      <c r="CZ407" s="11"/>
    </row>
    <row r="408" spans="1:104" x14ac:dyDescent="0.55000000000000004">
      <c r="A408" s="30" t="s">
        <v>1616</v>
      </c>
      <c r="B408" s="15">
        <v>7</v>
      </c>
      <c r="C408" s="7" t="s">
        <v>1486</v>
      </c>
      <c r="D408" s="7" t="s">
        <v>1520</v>
      </c>
      <c r="E408" s="7" t="s">
        <v>924</v>
      </c>
      <c r="F408" s="77" t="s">
        <v>1141</v>
      </c>
      <c r="G408" s="77">
        <v>1</v>
      </c>
      <c r="H408" s="7">
        <v>0</v>
      </c>
      <c r="I408" s="7" t="s">
        <v>924</v>
      </c>
      <c r="J408" s="40" t="s">
        <v>17</v>
      </c>
      <c r="K408" s="7" t="s">
        <v>924</v>
      </c>
      <c r="L408" s="7" t="s">
        <v>924</v>
      </c>
      <c r="M408" s="7" t="s">
        <v>924</v>
      </c>
      <c r="N408" s="7" t="s">
        <v>924</v>
      </c>
      <c r="O408" s="98"/>
      <c r="P408" s="102"/>
      <c r="Q408" s="11"/>
      <c r="R408" s="11"/>
      <c r="S408" s="11"/>
      <c r="T408" s="11"/>
      <c r="U408" s="11"/>
      <c r="V408" s="11"/>
      <c r="W408" s="11"/>
      <c r="X408" s="11"/>
      <c r="Y408" s="11"/>
      <c r="Z408" s="11"/>
      <c r="AA408" s="11"/>
      <c r="AB408" s="11"/>
      <c r="AC408" s="11"/>
      <c r="AD408" s="11"/>
      <c r="AE408" s="11"/>
      <c r="AF408" s="11"/>
      <c r="AG408" s="11"/>
      <c r="AH408" s="11"/>
      <c r="AI408" s="11"/>
      <c r="AJ408" s="11"/>
      <c r="AK408" s="11"/>
      <c r="AL408" s="11"/>
      <c r="AM408" s="11"/>
      <c r="AN408" s="11"/>
      <c r="AO408" s="11"/>
      <c r="AP408" s="11"/>
      <c r="AQ408" s="11"/>
      <c r="AR408" s="11"/>
      <c r="AS408" s="11"/>
      <c r="AT408" s="11"/>
      <c r="AU408" s="11"/>
      <c r="AV408" s="11"/>
      <c r="AW408" s="11"/>
      <c r="AX408" s="11"/>
      <c r="AY408" s="11"/>
      <c r="AZ408" s="11"/>
      <c r="BA408" s="11"/>
      <c r="BB408" s="11"/>
      <c r="BC408" s="11"/>
      <c r="BD408" s="11"/>
      <c r="BE408" s="11"/>
      <c r="BF408" s="11"/>
      <c r="BG408" s="11"/>
      <c r="BH408" s="11"/>
      <c r="BI408" s="11"/>
      <c r="BJ408" s="11"/>
      <c r="BK408" s="11"/>
      <c r="BL408" s="11"/>
      <c r="BM408" s="11"/>
      <c r="BN408" s="11"/>
      <c r="BO408" s="11"/>
      <c r="BP408" s="11"/>
      <c r="BQ408" s="11"/>
      <c r="BR408" s="11"/>
      <c r="BS408" s="11"/>
      <c r="BT408" s="11"/>
      <c r="BU408" s="11"/>
      <c r="BV408" s="11"/>
      <c r="BW408" s="11"/>
      <c r="BX408" s="11"/>
      <c r="BY408" s="11"/>
      <c r="BZ408" s="11"/>
      <c r="CA408" s="11"/>
      <c r="CB408" s="11"/>
      <c r="CC408" s="11"/>
      <c r="CD408" s="11"/>
      <c r="CE408" s="11"/>
      <c r="CF408" s="11"/>
      <c r="CG408" s="11"/>
      <c r="CH408" s="11"/>
      <c r="CI408" s="11"/>
      <c r="CJ408" s="11"/>
      <c r="CK408" s="11"/>
      <c r="CL408" s="11"/>
      <c r="CM408" s="11"/>
      <c r="CN408" s="11"/>
      <c r="CO408" s="11"/>
      <c r="CP408" s="11"/>
      <c r="CQ408" s="11"/>
      <c r="CR408" s="11"/>
      <c r="CS408" s="11"/>
      <c r="CT408" s="11"/>
      <c r="CU408" s="11"/>
      <c r="CV408" s="11"/>
      <c r="CW408" s="11"/>
      <c r="CX408" s="11"/>
      <c r="CY408" s="11"/>
      <c r="CZ408" s="11"/>
    </row>
    <row r="409" spans="1:104" x14ac:dyDescent="0.55000000000000004">
      <c r="A409" s="30" t="s">
        <v>1617</v>
      </c>
      <c r="B409" s="13">
        <v>8</v>
      </c>
      <c r="C409" s="7" t="s">
        <v>1521</v>
      </c>
      <c r="D409" s="7" t="s">
        <v>1522</v>
      </c>
      <c r="E409" s="7" t="s">
        <v>924</v>
      </c>
      <c r="F409" s="77" t="s">
        <v>1141</v>
      </c>
      <c r="G409" s="77">
        <v>1</v>
      </c>
      <c r="H409" s="7">
        <v>0</v>
      </c>
      <c r="I409" s="7" t="s">
        <v>924</v>
      </c>
      <c r="J409" s="40" t="s">
        <v>17</v>
      </c>
      <c r="K409" s="7" t="s">
        <v>924</v>
      </c>
      <c r="L409" s="7" t="s">
        <v>924</v>
      </c>
      <c r="M409" s="7" t="s">
        <v>924</v>
      </c>
      <c r="N409" s="7" t="s">
        <v>924</v>
      </c>
      <c r="O409" s="98"/>
      <c r="P409" s="102"/>
      <c r="Q409" s="11"/>
      <c r="R409" s="11"/>
      <c r="S409" s="11"/>
      <c r="T409" s="11"/>
      <c r="U409" s="11"/>
      <c r="V409" s="11"/>
      <c r="W409" s="11"/>
      <c r="X409" s="11"/>
      <c r="Y409" s="11"/>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c r="BC409" s="11"/>
      <c r="BD409" s="11"/>
      <c r="BE409" s="11"/>
      <c r="BF409" s="11"/>
      <c r="BG409" s="11"/>
      <c r="BH409" s="11"/>
      <c r="BI409" s="11"/>
      <c r="BJ409" s="11"/>
      <c r="BK409" s="11"/>
      <c r="BL409" s="11"/>
      <c r="BM409" s="11"/>
      <c r="BN409" s="11"/>
      <c r="BO409" s="11"/>
      <c r="BP409" s="11"/>
      <c r="BQ409" s="11"/>
      <c r="BR409" s="11"/>
      <c r="BS409" s="11"/>
      <c r="BT409" s="11"/>
      <c r="BU409" s="11"/>
      <c r="BV409" s="11"/>
      <c r="BW409" s="11"/>
      <c r="BX409" s="11"/>
      <c r="BY409" s="11"/>
      <c r="BZ409" s="11"/>
      <c r="CA409" s="11"/>
      <c r="CB409" s="11"/>
      <c r="CC409" s="11"/>
      <c r="CD409" s="11"/>
      <c r="CE409" s="11"/>
      <c r="CF409" s="11"/>
      <c r="CG409" s="11"/>
      <c r="CH409" s="11"/>
      <c r="CI409" s="11"/>
      <c r="CJ409" s="11"/>
      <c r="CK409" s="11"/>
      <c r="CL409" s="11"/>
      <c r="CM409" s="11"/>
      <c r="CN409" s="11"/>
      <c r="CO409" s="11"/>
      <c r="CP409" s="11"/>
      <c r="CQ409" s="11"/>
      <c r="CR409" s="11"/>
      <c r="CS409" s="11"/>
      <c r="CT409" s="11"/>
      <c r="CU409" s="11"/>
      <c r="CV409" s="11"/>
      <c r="CW409" s="11"/>
      <c r="CX409" s="11"/>
      <c r="CY409" s="11"/>
      <c r="CZ409" s="11"/>
    </row>
    <row r="410" spans="1:104" x14ac:dyDescent="0.55000000000000004">
      <c r="A410" s="30" t="s">
        <v>1618</v>
      </c>
      <c r="B410" s="15">
        <v>9</v>
      </c>
      <c r="C410" s="7" t="s">
        <v>1523</v>
      </c>
      <c r="D410" s="7" t="s">
        <v>1524</v>
      </c>
      <c r="E410" s="7" t="s">
        <v>924</v>
      </c>
      <c r="F410" s="77" t="s">
        <v>1141</v>
      </c>
      <c r="G410" s="77">
        <v>1</v>
      </c>
      <c r="H410" s="7">
        <v>0</v>
      </c>
      <c r="I410" s="7" t="s">
        <v>924</v>
      </c>
      <c r="J410" s="40" t="s">
        <v>17</v>
      </c>
      <c r="K410" s="7" t="s">
        <v>924</v>
      </c>
      <c r="L410" s="7" t="s">
        <v>924</v>
      </c>
      <c r="M410" s="7" t="s">
        <v>924</v>
      </c>
      <c r="N410" s="7" t="s">
        <v>924</v>
      </c>
      <c r="O410" s="98"/>
      <c r="P410" s="102"/>
      <c r="Q410" s="11"/>
      <c r="R410" s="11"/>
      <c r="S410" s="11"/>
      <c r="T410" s="11"/>
      <c r="U410" s="11"/>
      <c r="V410" s="11"/>
      <c r="W410" s="11"/>
      <c r="X410" s="11"/>
      <c r="Y410" s="11"/>
      <c r="Z410" s="11"/>
      <c r="AA410" s="11"/>
      <c r="AB410" s="11"/>
      <c r="AC410" s="11"/>
      <c r="AD410" s="11"/>
      <c r="AE410" s="11"/>
      <c r="AF410" s="11"/>
      <c r="AG410" s="11"/>
      <c r="AH410" s="11"/>
      <c r="AI410" s="11"/>
      <c r="AJ410" s="11"/>
      <c r="AK410" s="11"/>
      <c r="AL410" s="11"/>
      <c r="AM410" s="11"/>
      <c r="AN410" s="11"/>
      <c r="AO410" s="11"/>
      <c r="AP410" s="11"/>
      <c r="AQ410" s="11"/>
      <c r="AR410" s="11"/>
      <c r="AS410" s="11"/>
      <c r="AT410" s="11"/>
      <c r="AU410" s="11"/>
      <c r="AV410" s="11"/>
      <c r="AW410" s="11"/>
      <c r="AX410" s="11"/>
      <c r="AY410" s="11"/>
      <c r="AZ410" s="11"/>
      <c r="BA410" s="11"/>
      <c r="BB410" s="11"/>
      <c r="BC410" s="11"/>
      <c r="BD410" s="11"/>
      <c r="BE410" s="11"/>
      <c r="BF410" s="11"/>
      <c r="BG410" s="11"/>
      <c r="BH410" s="11"/>
      <c r="BI410" s="11"/>
      <c r="BJ410" s="11"/>
      <c r="BK410" s="11"/>
      <c r="BL410" s="11"/>
      <c r="BM410" s="11"/>
      <c r="BN410" s="11"/>
      <c r="BO410" s="11"/>
      <c r="BP410" s="11"/>
      <c r="BQ410" s="11"/>
      <c r="BR410" s="11"/>
      <c r="BS410" s="11"/>
      <c r="BT410" s="11"/>
      <c r="BU410" s="11"/>
      <c r="BV410" s="11"/>
      <c r="BW410" s="11"/>
      <c r="BX410" s="11"/>
      <c r="BY410" s="11"/>
      <c r="BZ410" s="11"/>
      <c r="CA410" s="11"/>
      <c r="CB410" s="11"/>
      <c r="CC410" s="11"/>
      <c r="CD410" s="11"/>
      <c r="CE410" s="11"/>
      <c r="CF410" s="11"/>
      <c r="CG410" s="11"/>
      <c r="CH410" s="11"/>
      <c r="CI410" s="11"/>
      <c r="CJ410" s="11"/>
      <c r="CK410" s="11"/>
      <c r="CL410" s="11"/>
      <c r="CM410" s="11"/>
      <c r="CN410" s="11"/>
      <c r="CO410" s="11"/>
      <c r="CP410" s="11"/>
      <c r="CQ410" s="11"/>
      <c r="CR410" s="11"/>
      <c r="CS410" s="11"/>
      <c r="CT410" s="11"/>
      <c r="CU410" s="11"/>
      <c r="CV410" s="11"/>
      <c r="CW410" s="11"/>
      <c r="CX410" s="11"/>
      <c r="CY410" s="11"/>
      <c r="CZ410" s="11"/>
    </row>
    <row r="411" spans="1:104" x14ac:dyDescent="0.55000000000000004">
      <c r="A411" s="30" t="s">
        <v>1619</v>
      </c>
      <c r="B411" s="13">
        <v>10</v>
      </c>
      <c r="C411" s="7" t="s">
        <v>1525</v>
      </c>
      <c r="D411" s="7" t="s">
        <v>1526</v>
      </c>
      <c r="E411" s="7" t="s">
        <v>924</v>
      </c>
      <c r="F411" s="77" t="s">
        <v>1141</v>
      </c>
      <c r="G411" s="77">
        <v>1</v>
      </c>
      <c r="H411" s="7">
        <v>0</v>
      </c>
      <c r="I411" s="7" t="s">
        <v>924</v>
      </c>
      <c r="J411" s="40" t="s">
        <v>17</v>
      </c>
      <c r="K411" s="7" t="s">
        <v>924</v>
      </c>
      <c r="L411" s="7" t="s">
        <v>924</v>
      </c>
      <c r="M411" s="7" t="s">
        <v>924</v>
      </c>
      <c r="N411" s="7" t="s">
        <v>924</v>
      </c>
      <c r="O411" s="98"/>
      <c r="P411" s="102"/>
      <c r="Q411" s="11"/>
      <c r="R411" s="11"/>
      <c r="S411" s="11"/>
      <c r="T411" s="11"/>
      <c r="U411" s="11"/>
      <c r="V411" s="11"/>
      <c r="W411" s="11"/>
      <c r="X411" s="11"/>
      <c r="Y411" s="11"/>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c r="BC411" s="11"/>
      <c r="BD411" s="11"/>
      <c r="BE411" s="11"/>
      <c r="BF411" s="11"/>
      <c r="BG411" s="11"/>
      <c r="BH411" s="11"/>
      <c r="BI411" s="11"/>
      <c r="BJ411" s="11"/>
      <c r="BK411" s="11"/>
      <c r="BL411" s="11"/>
      <c r="BM411" s="11"/>
      <c r="BN411" s="11"/>
      <c r="BO411" s="11"/>
      <c r="BP411" s="11"/>
      <c r="BQ411" s="11"/>
      <c r="BR411" s="11"/>
      <c r="BS411" s="11"/>
      <c r="BT411" s="11"/>
      <c r="BU411" s="11"/>
      <c r="BV411" s="11"/>
      <c r="BW411" s="11"/>
      <c r="BX411" s="11"/>
      <c r="BY411" s="11"/>
      <c r="BZ411" s="11"/>
      <c r="CA411" s="11"/>
      <c r="CB411" s="11"/>
      <c r="CC411" s="11"/>
      <c r="CD411" s="11"/>
      <c r="CE411" s="11"/>
      <c r="CF411" s="11"/>
      <c r="CG411" s="11"/>
      <c r="CH411" s="11"/>
      <c r="CI411" s="11"/>
      <c r="CJ411" s="11"/>
      <c r="CK411" s="11"/>
      <c r="CL411" s="11"/>
      <c r="CM411" s="11"/>
      <c r="CN411" s="11"/>
      <c r="CO411" s="11"/>
      <c r="CP411" s="11"/>
      <c r="CQ411" s="11"/>
      <c r="CR411" s="11"/>
      <c r="CS411" s="11"/>
      <c r="CT411" s="11"/>
      <c r="CU411" s="11"/>
      <c r="CV411" s="11"/>
      <c r="CW411" s="11"/>
      <c r="CX411" s="11"/>
      <c r="CY411" s="11"/>
      <c r="CZ411" s="11"/>
    </row>
    <row r="412" spans="1:104" x14ac:dyDescent="0.55000000000000004">
      <c r="A412" s="30" t="s">
        <v>1620</v>
      </c>
      <c r="B412" s="15">
        <v>11</v>
      </c>
      <c r="C412" s="7" t="s">
        <v>1527</v>
      </c>
      <c r="D412" s="7" t="s">
        <v>1528</v>
      </c>
      <c r="E412" s="7" t="s">
        <v>924</v>
      </c>
      <c r="F412" s="77" t="s">
        <v>1141</v>
      </c>
      <c r="G412" s="77">
        <v>1</v>
      </c>
      <c r="H412" s="7">
        <v>0</v>
      </c>
      <c r="I412" s="7" t="s">
        <v>924</v>
      </c>
      <c r="J412" s="40" t="s">
        <v>17</v>
      </c>
      <c r="K412" s="7" t="s">
        <v>924</v>
      </c>
      <c r="L412" s="7" t="s">
        <v>924</v>
      </c>
      <c r="M412" s="7" t="s">
        <v>924</v>
      </c>
      <c r="N412" s="7" t="s">
        <v>924</v>
      </c>
      <c r="O412" s="98"/>
      <c r="P412" s="102"/>
      <c r="Q412" s="11"/>
      <c r="R412" s="11"/>
      <c r="S412" s="11"/>
      <c r="T412" s="11"/>
      <c r="U412" s="11"/>
      <c r="V412" s="11"/>
      <c r="W412" s="11"/>
      <c r="X412" s="11"/>
      <c r="Y412" s="11"/>
      <c r="Z412" s="11"/>
      <c r="AA412" s="11"/>
      <c r="AB412" s="11"/>
      <c r="AC412" s="11"/>
      <c r="AD412" s="11"/>
      <c r="AE412" s="11"/>
      <c r="AF412" s="11"/>
      <c r="AG412" s="11"/>
      <c r="AH412" s="11"/>
      <c r="AI412" s="11"/>
      <c r="AJ412" s="11"/>
      <c r="AK412" s="11"/>
      <c r="AL412" s="11"/>
      <c r="AM412" s="11"/>
      <c r="AN412" s="11"/>
      <c r="AO412" s="11"/>
      <c r="AP412" s="11"/>
      <c r="AQ412" s="11"/>
      <c r="AR412" s="11"/>
      <c r="AS412" s="11"/>
      <c r="AT412" s="11"/>
      <c r="AU412" s="11"/>
      <c r="AV412" s="11"/>
      <c r="AW412" s="11"/>
      <c r="AX412" s="11"/>
      <c r="AY412" s="11"/>
      <c r="AZ412" s="11"/>
      <c r="BA412" s="11"/>
      <c r="BB412" s="11"/>
      <c r="BC412" s="11"/>
      <c r="BD412" s="11"/>
      <c r="BE412" s="11"/>
      <c r="BF412" s="11"/>
      <c r="BG412" s="11"/>
      <c r="BH412" s="11"/>
      <c r="BI412" s="11"/>
      <c r="BJ412" s="11"/>
      <c r="BK412" s="11"/>
      <c r="BL412" s="11"/>
      <c r="BM412" s="11"/>
      <c r="BN412" s="11"/>
      <c r="BO412" s="11"/>
      <c r="BP412" s="11"/>
      <c r="BQ412" s="11"/>
      <c r="BR412" s="11"/>
      <c r="BS412" s="11"/>
      <c r="BT412" s="11"/>
      <c r="BU412" s="11"/>
      <c r="BV412" s="11"/>
      <c r="BW412" s="11"/>
      <c r="BX412" s="11"/>
      <c r="BY412" s="11"/>
      <c r="BZ412" s="11"/>
      <c r="CA412" s="11"/>
      <c r="CB412" s="11"/>
      <c r="CC412" s="11"/>
      <c r="CD412" s="11"/>
      <c r="CE412" s="11"/>
      <c r="CF412" s="11"/>
      <c r="CG412" s="11"/>
      <c r="CH412" s="11"/>
      <c r="CI412" s="11"/>
      <c r="CJ412" s="11"/>
      <c r="CK412" s="11"/>
      <c r="CL412" s="11"/>
      <c r="CM412" s="11"/>
      <c r="CN412" s="11"/>
      <c r="CO412" s="11"/>
      <c r="CP412" s="11"/>
      <c r="CQ412" s="11"/>
      <c r="CR412" s="11"/>
      <c r="CS412" s="11"/>
      <c r="CT412" s="11"/>
      <c r="CU412" s="11"/>
      <c r="CV412" s="11"/>
      <c r="CW412" s="11"/>
      <c r="CX412" s="11"/>
      <c r="CY412" s="11"/>
      <c r="CZ412" s="11"/>
    </row>
    <row r="413" spans="1:104" x14ac:dyDescent="0.55000000000000004">
      <c r="A413" s="30" t="s">
        <v>1198</v>
      </c>
      <c r="B413" s="13">
        <v>12</v>
      </c>
      <c r="C413" s="7" t="s">
        <v>1529</v>
      </c>
      <c r="D413" s="7" t="s">
        <v>1530</v>
      </c>
      <c r="E413" s="7" t="s">
        <v>924</v>
      </c>
      <c r="F413" s="7" t="s">
        <v>1141</v>
      </c>
      <c r="G413" s="7">
        <v>1</v>
      </c>
      <c r="H413" s="7">
        <v>0</v>
      </c>
      <c r="I413" s="7" t="s">
        <v>924</v>
      </c>
      <c r="J413" s="40" t="s">
        <v>17</v>
      </c>
      <c r="K413" s="7" t="s">
        <v>924</v>
      </c>
      <c r="L413" s="7" t="s">
        <v>924</v>
      </c>
      <c r="M413" s="7" t="s">
        <v>924</v>
      </c>
      <c r="N413" s="7" t="s">
        <v>924</v>
      </c>
      <c r="O413" s="98"/>
      <c r="P413" s="102"/>
      <c r="Q413" s="11"/>
      <c r="R413" s="11"/>
      <c r="S413" s="11"/>
      <c r="T413" s="11"/>
      <c r="U413" s="11"/>
      <c r="V413" s="11"/>
      <c r="W413" s="11"/>
      <c r="X413" s="11"/>
      <c r="Y413" s="11"/>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c r="BC413" s="11"/>
      <c r="BD413" s="11"/>
      <c r="BE413" s="11"/>
      <c r="BF413" s="11"/>
      <c r="BG413" s="11"/>
      <c r="BH413" s="11"/>
      <c r="BI413" s="11"/>
      <c r="BJ413" s="11"/>
      <c r="BK413" s="11"/>
      <c r="BL413" s="11"/>
      <c r="BM413" s="11"/>
      <c r="BN413" s="11"/>
      <c r="BO413" s="11"/>
      <c r="BP413" s="11"/>
      <c r="BQ413" s="11"/>
      <c r="BR413" s="11"/>
      <c r="BS413" s="11"/>
      <c r="BT413" s="11"/>
      <c r="BU413" s="11"/>
      <c r="BV413" s="11"/>
      <c r="BW413" s="11"/>
      <c r="BX413" s="11"/>
      <c r="BY413" s="11"/>
      <c r="BZ413" s="11"/>
      <c r="CA413" s="11"/>
      <c r="CB413" s="11"/>
      <c r="CC413" s="11"/>
      <c r="CD413" s="11"/>
      <c r="CE413" s="11"/>
      <c r="CF413" s="11"/>
      <c r="CG413" s="11"/>
      <c r="CH413" s="11"/>
      <c r="CI413" s="11"/>
      <c r="CJ413" s="11"/>
      <c r="CK413" s="11"/>
      <c r="CL413" s="11"/>
      <c r="CM413" s="11"/>
      <c r="CN413" s="11"/>
      <c r="CO413" s="11"/>
      <c r="CP413" s="11"/>
      <c r="CQ413" s="11"/>
      <c r="CR413" s="11"/>
      <c r="CS413" s="11"/>
      <c r="CT413" s="11"/>
      <c r="CU413" s="11"/>
      <c r="CV413" s="11"/>
      <c r="CW413" s="11"/>
      <c r="CX413" s="11"/>
      <c r="CY413" s="11"/>
      <c r="CZ413" s="11"/>
    </row>
    <row r="414" spans="1:104" ht="15.6" x14ac:dyDescent="0.6">
      <c r="A414" s="45" t="str">
        <f>IF((A415+2)&gt;=26,CHAR(65)&amp;CHAR(65+1+A415-26),CHAR(65+1+A415))</f>
        <v>N</v>
      </c>
      <c r="B414" s="15">
        <v>13</v>
      </c>
      <c r="C414" s="7" t="s">
        <v>966</v>
      </c>
      <c r="D414" s="7" t="s">
        <v>1171</v>
      </c>
      <c r="E414" s="7" t="s">
        <v>924</v>
      </c>
      <c r="F414" s="7" t="s">
        <v>1141</v>
      </c>
      <c r="G414" s="7">
        <v>1</v>
      </c>
      <c r="H414" s="7">
        <v>0</v>
      </c>
      <c r="I414" s="7" t="s">
        <v>924</v>
      </c>
      <c r="J414" s="40" t="s">
        <v>17</v>
      </c>
      <c r="K414" s="7" t="s">
        <v>924</v>
      </c>
      <c r="L414" s="19" t="s">
        <v>924</v>
      </c>
      <c r="M414" s="19" t="s">
        <v>924</v>
      </c>
      <c r="N414" s="19" t="s">
        <v>924</v>
      </c>
      <c r="O414" s="98"/>
      <c r="P414" s="102"/>
      <c r="Q414" s="11"/>
      <c r="R414" s="11"/>
      <c r="S414" s="11"/>
      <c r="T414" s="11"/>
      <c r="U414" s="11"/>
      <c r="V414" s="11"/>
      <c r="W414" s="11"/>
      <c r="X414" s="11"/>
      <c r="Y414" s="11"/>
      <c r="Z414" s="11"/>
      <c r="AA414" s="11"/>
      <c r="AB414" s="11"/>
      <c r="AC414" s="11"/>
      <c r="AD414" s="11"/>
      <c r="AE414" s="11"/>
      <c r="AF414" s="11"/>
      <c r="AG414" s="11"/>
      <c r="AH414" s="11"/>
      <c r="AI414" s="11"/>
      <c r="AJ414" s="11"/>
      <c r="AK414" s="11"/>
      <c r="AL414" s="11"/>
      <c r="AM414" s="11"/>
      <c r="AN414" s="11"/>
      <c r="AO414" s="11"/>
      <c r="AP414" s="11"/>
      <c r="AQ414" s="11"/>
      <c r="AR414" s="11"/>
      <c r="AS414" s="11"/>
      <c r="AT414" s="11"/>
      <c r="AU414" s="11"/>
      <c r="AV414" s="11"/>
      <c r="AW414" s="11"/>
      <c r="AX414" s="11"/>
      <c r="AY414" s="11"/>
      <c r="AZ414" s="11"/>
      <c r="BA414" s="11"/>
      <c r="BB414" s="11"/>
      <c r="BC414" s="11"/>
      <c r="BD414" s="11"/>
      <c r="BE414" s="11"/>
      <c r="BF414" s="11"/>
      <c r="BG414" s="11"/>
      <c r="BH414" s="11"/>
      <c r="BI414" s="11"/>
      <c r="BJ414" s="11"/>
      <c r="BK414" s="11"/>
      <c r="BL414" s="11"/>
      <c r="BM414" s="11"/>
      <c r="BN414" s="11"/>
      <c r="BO414" s="11"/>
      <c r="BP414" s="11"/>
      <c r="BQ414" s="11"/>
      <c r="BR414" s="11"/>
      <c r="BS414" s="11"/>
      <c r="BT414" s="11"/>
      <c r="BU414" s="11"/>
      <c r="BV414" s="11"/>
      <c r="BW414" s="11"/>
      <c r="BX414" s="11"/>
      <c r="BY414" s="11"/>
      <c r="BZ414" s="11"/>
      <c r="CA414" s="11"/>
      <c r="CB414" s="11"/>
      <c r="CC414" s="11"/>
      <c r="CD414" s="11"/>
      <c r="CE414" s="11"/>
      <c r="CF414" s="11"/>
      <c r="CG414" s="11"/>
      <c r="CH414" s="11"/>
      <c r="CI414" s="11"/>
      <c r="CJ414" s="11"/>
      <c r="CK414" s="11"/>
      <c r="CL414" s="11"/>
      <c r="CM414" s="11"/>
      <c r="CN414" s="11"/>
      <c r="CO414" s="11"/>
      <c r="CP414" s="11"/>
      <c r="CQ414" s="11"/>
      <c r="CR414" s="11"/>
      <c r="CS414" s="11"/>
      <c r="CT414" s="11"/>
      <c r="CU414" s="11"/>
      <c r="CV414" s="11"/>
      <c r="CW414" s="11"/>
      <c r="CX414" s="11"/>
      <c r="CY414" s="11"/>
      <c r="CZ414" s="11"/>
    </row>
    <row r="415" spans="1:104" x14ac:dyDescent="0.55000000000000004">
      <c r="A415" s="94">
        <f>IF($C$19=0,5+3*$C$16+3*$D$16+1,5+3*$C$16+3*$D$16+$C$19)</f>
        <v>12</v>
      </c>
      <c r="B415" s="13">
        <v>14</v>
      </c>
      <c r="C415" s="7" t="s">
        <v>967</v>
      </c>
      <c r="D415" s="7" t="s">
        <v>1456</v>
      </c>
      <c r="E415" s="7" t="s">
        <v>924</v>
      </c>
      <c r="F415" s="7" t="s">
        <v>1141</v>
      </c>
      <c r="G415" s="7">
        <v>1</v>
      </c>
      <c r="H415" s="7">
        <v>0</v>
      </c>
      <c r="I415" s="7" t="s">
        <v>924</v>
      </c>
      <c r="J415" s="40" t="s">
        <v>17</v>
      </c>
      <c r="K415" s="7" t="s">
        <v>924</v>
      </c>
      <c r="L415" s="7" t="s">
        <v>924</v>
      </c>
      <c r="M415" s="7" t="s">
        <v>924</v>
      </c>
      <c r="N415" s="7" t="s">
        <v>924</v>
      </c>
      <c r="O415" s="98"/>
      <c r="P415" s="102"/>
      <c r="Q415" s="11"/>
      <c r="R415" s="11"/>
      <c r="S415" s="11"/>
      <c r="T415" s="11"/>
      <c r="U415" s="11"/>
      <c r="V415" s="11"/>
      <c r="W415" s="11"/>
      <c r="X415" s="11"/>
      <c r="Y415" s="11"/>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c r="BC415" s="11"/>
      <c r="BD415" s="11"/>
      <c r="BE415" s="11"/>
      <c r="BF415" s="11"/>
      <c r="BG415" s="11"/>
      <c r="BH415" s="11"/>
      <c r="BI415" s="11"/>
      <c r="BJ415" s="11"/>
      <c r="BK415" s="11"/>
      <c r="BL415" s="11"/>
      <c r="BM415" s="11"/>
      <c r="BN415" s="11"/>
      <c r="BO415" s="11"/>
      <c r="BP415" s="11"/>
      <c r="BQ415" s="11"/>
      <c r="BR415" s="11"/>
      <c r="BS415" s="11"/>
      <c r="BT415" s="11"/>
      <c r="BU415" s="11"/>
      <c r="BV415" s="11"/>
      <c r="BW415" s="11"/>
      <c r="BX415" s="11"/>
      <c r="BY415" s="11"/>
      <c r="BZ415" s="11"/>
      <c r="CA415" s="11"/>
      <c r="CB415" s="11"/>
      <c r="CC415" s="11"/>
      <c r="CD415" s="11"/>
      <c r="CE415" s="11"/>
      <c r="CF415" s="11"/>
      <c r="CG415" s="11"/>
      <c r="CH415" s="11"/>
      <c r="CI415" s="11"/>
      <c r="CJ415" s="11"/>
      <c r="CK415" s="11"/>
      <c r="CL415" s="11"/>
      <c r="CM415" s="11"/>
      <c r="CN415" s="11"/>
      <c r="CO415" s="11"/>
      <c r="CP415" s="11"/>
      <c r="CQ415" s="11"/>
      <c r="CR415" s="11"/>
      <c r="CS415" s="11"/>
      <c r="CT415" s="11"/>
      <c r="CU415" s="11"/>
      <c r="CV415" s="11"/>
      <c r="CW415" s="11"/>
      <c r="CX415" s="11"/>
      <c r="CY415" s="11"/>
      <c r="CZ415" s="11"/>
    </row>
    <row r="416" spans="1:104" x14ac:dyDescent="0.55000000000000004">
      <c r="B416" s="15">
        <v>15</v>
      </c>
      <c r="C416" s="7" t="s">
        <v>968</v>
      </c>
      <c r="D416" s="7" t="s">
        <v>1097</v>
      </c>
      <c r="E416" s="7" t="s">
        <v>924</v>
      </c>
      <c r="F416" s="7" t="s">
        <v>1141</v>
      </c>
      <c r="G416" s="7">
        <v>1</v>
      </c>
      <c r="H416" s="7">
        <v>0</v>
      </c>
      <c r="I416" s="7" t="s">
        <v>924</v>
      </c>
      <c r="J416" s="40" t="s">
        <v>17</v>
      </c>
      <c r="K416" s="7" t="s">
        <v>924</v>
      </c>
      <c r="L416" s="7" t="s">
        <v>924</v>
      </c>
      <c r="M416" s="7" t="s">
        <v>924</v>
      </c>
      <c r="N416" s="7" t="s">
        <v>924</v>
      </c>
      <c r="O416" s="98"/>
      <c r="P416" s="102"/>
      <c r="Q416" s="11"/>
      <c r="R416" s="11"/>
      <c r="S416" s="11"/>
      <c r="T416" s="11"/>
      <c r="U416" s="11"/>
      <c r="V416" s="11"/>
      <c r="W416" s="11"/>
      <c r="X416" s="11"/>
      <c r="Y416" s="11"/>
      <c r="Z416" s="11"/>
      <c r="AA416" s="11"/>
      <c r="AB416" s="11"/>
      <c r="AC416" s="11"/>
      <c r="AD416" s="11"/>
      <c r="AE416" s="11"/>
      <c r="AF416" s="11"/>
      <c r="AG416" s="11"/>
      <c r="AH416" s="11"/>
      <c r="AI416" s="11"/>
      <c r="AJ416" s="11"/>
      <c r="AK416" s="11"/>
      <c r="AL416" s="11"/>
      <c r="AM416" s="11"/>
      <c r="AN416" s="11"/>
      <c r="AO416" s="11"/>
      <c r="AP416" s="11"/>
      <c r="AQ416" s="11"/>
      <c r="AR416" s="11"/>
      <c r="AS416" s="11"/>
      <c r="AT416" s="11"/>
      <c r="AU416" s="11"/>
      <c r="AV416" s="11"/>
      <c r="AW416" s="11"/>
      <c r="AX416" s="11"/>
      <c r="AY416" s="11"/>
      <c r="AZ416" s="11"/>
      <c r="BA416" s="11"/>
      <c r="BB416" s="11"/>
      <c r="BC416" s="11"/>
      <c r="BD416" s="11"/>
      <c r="BE416" s="11"/>
      <c r="BF416" s="11"/>
      <c r="BG416" s="11"/>
      <c r="BH416" s="11"/>
      <c r="BI416" s="11"/>
      <c r="BJ416" s="11"/>
      <c r="BK416" s="11"/>
      <c r="BL416" s="11"/>
      <c r="BM416" s="11"/>
      <c r="BN416" s="11"/>
      <c r="BO416" s="11"/>
      <c r="BP416" s="11"/>
      <c r="BQ416" s="11"/>
      <c r="BR416" s="11"/>
      <c r="BS416" s="11"/>
      <c r="BT416" s="11"/>
      <c r="BU416" s="11"/>
      <c r="BV416" s="11"/>
      <c r="BW416" s="11"/>
      <c r="BX416" s="11"/>
      <c r="BY416" s="11"/>
      <c r="BZ416" s="11"/>
      <c r="CA416" s="11"/>
      <c r="CB416" s="11"/>
      <c r="CC416" s="11"/>
      <c r="CD416" s="11"/>
      <c r="CE416" s="11"/>
      <c r="CF416" s="11"/>
      <c r="CG416" s="11"/>
      <c r="CH416" s="11"/>
      <c r="CI416" s="11"/>
      <c r="CJ416" s="11"/>
      <c r="CK416" s="11"/>
      <c r="CL416" s="11"/>
      <c r="CM416" s="11"/>
      <c r="CN416" s="11"/>
      <c r="CO416" s="11"/>
      <c r="CP416" s="11"/>
      <c r="CQ416" s="11"/>
      <c r="CR416" s="11"/>
      <c r="CS416" s="11"/>
      <c r="CT416" s="11"/>
      <c r="CU416" s="11"/>
      <c r="CV416" s="11"/>
      <c r="CW416" s="11"/>
      <c r="CX416" s="11"/>
      <c r="CY416" s="11"/>
      <c r="CZ416" s="11"/>
    </row>
    <row r="417" spans="2:104" x14ac:dyDescent="0.55000000000000004">
      <c r="B417" s="13">
        <v>16</v>
      </c>
      <c r="C417" s="7" t="s">
        <v>969</v>
      </c>
      <c r="D417" s="7" t="s">
        <v>1098</v>
      </c>
      <c r="E417" s="7" t="s">
        <v>924</v>
      </c>
      <c r="F417" s="7" t="s">
        <v>1141</v>
      </c>
      <c r="G417" s="7">
        <v>1</v>
      </c>
      <c r="H417" s="7">
        <v>0</v>
      </c>
      <c r="I417" s="7" t="s">
        <v>924</v>
      </c>
      <c r="J417" s="40" t="s">
        <v>17</v>
      </c>
      <c r="K417" s="7" t="s">
        <v>924</v>
      </c>
      <c r="L417" s="7" t="s">
        <v>924</v>
      </c>
      <c r="M417" s="7" t="s">
        <v>924</v>
      </c>
      <c r="N417" s="7" t="s">
        <v>924</v>
      </c>
      <c r="O417" s="98"/>
      <c r="P417" s="102"/>
      <c r="Q417" s="11"/>
      <c r="R417" s="11"/>
      <c r="S417" s="11"/>
      <c r="T417" s="11"/>
      <c r="U417" s="11"/>
      <c r="V417" s="11"/>
      <c r="W417" s="11"/>
      <c r="X417" s="11"/>
      <c r="Y417" s="11"/>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c r="BC417" s="11"/>
      <c r="BD417" s="11"/>
      <c r="BE417" s="11"/>
      <c r="BF417" s="11"/>
      <c r="BG417" s="11"/>
      <c r="BH417" s="11"/>
      <c r="BI417" s="11"/>
      <c r="BJ417" s="11"/>
      <c r="BK417" s="11"/>
      <c r="BL417" s="11"/>
      <c r="BM417" s="11"/>
      <c r="BN417" s="11"/>
      <c r="BO417" s="11"/>
      <c r="BP417" s="11"/>
      <c r="BQ417" s="11"/>
      <c r="BR417" s="11"/>
      <c r="BS417" s="11"/>
      <c r="BT417" s="11"/>
      <c r="BU417" s="11"/>
      <c r="BV417" s="11"/>
      <c r="BW417" s="11"/>
      <c r="BX417" s="11"/>
      <c r="BY417" s="11"/>
      <c r="BZ417" s="11"/>
      <c r="CA417" s="11"/>
      <c r="CB417" s="11"/>
      <c r="CC417" s="11"/>
      <c r="CD417" s="11"/>
      <c r="CE417" s="11"/>
      <c r="CF417" s="11"/>
      <c r="CG417" s="11"/>
      <c r="CH417" s="11"/>
      <c r="CI417" s="11"/>
      <c r="CJ417" s="11"/>
      <c r="CK417" s="11"/>
      <c r="CL417" s="11"/>
      <c r="CM417" s="11"/>
      <c r="CN417" s="11"/>
      <c r="CO417" s="11"/>
      <c r="CP417" s="11"/>
      <c r="CQ417" s="11"/>
      <c r="CR417" s="11"/>
      <c r="CS417" s="11"/>
      <c r="CT417" s="11"/>
      <c r="CU417" s="11"/>
      <c r="CV417" s="11"/>
      <c r="CW417" s="11"/>
      <c r="CX417" s="11"/>
      <c r="CY417" s="11"/>
      <c r="CZ417" s="11"/>
    </row>
    <row r="418" spans="2:104" x14ac:dyDescent="0.55000000000000004">
      <c r="B418" s="15">
        <v>17</v>
      </c>
      <c r="C418" s="7" t="s">
        <v>970</v>
      </c>
      <c r="D418" s="7" t="s">
        <v>1099</v>
      </c>
      <c r="E418" s="7" t="s">
        <v>924</v>
      </c>
      <c r="F418" s="7" t="s">
        <v>1141</v>
      </c>
      <c r="G418" s="7">
        <v>1</v>
      </c>
      <c r="H418" s="7">
        <v>0</v>
      </c>
      <c r="I418" s="7" t="s">
        <v>924</v>
      </c>
      <c r="J418" s="40" t="s">
        <v>17</v>
      </c>
      <c r="K418" s="7" t="s">
        <v>924</v>
      </c>
      <c r="L418" s="7" t="s">
        <v>924</v>
      </c>
      <c r="M418" s="7" t="s">
        <v>924</v>
      </c>
      <c r="N418" s="7" t="s">
        <v>924</v>
      </c>
      <c r="O418" s="98"/>
      <c r="P418" s="102"/>
      <c r="Q418" s="11"/>
      <c r="R418" s="11"/>
      <c r="S418" s="11"/>
      <c r="T418" s="11"/>
      <c r="U418" s="11"/>
      <c r="V418" s="11"/>
      <c r="W418" s="11"/>
      <c r="X418" s="11"/>
      <c r="Y418" s="11"/>
      <c r="Z418" s="11"/>
      <c r="AA418" s="11"/>
      <c r="AB418" s="11"/>
      <c r="AC418" s="11"/>
      <c r="AD418" s="11"/>
      <c r="AE418" s="11"/>
      <c r="AF418" s="11"/>
      <c r="AG418" s="11"/>
      <c r="AH418" s="11"/>
      <c r="AI418" s="11"/>
      <c r="AJ418" s="11"/>
      <c r="AK418" s="11"/>
      <c r="AL418" s="11"/>
      <c r="AM418" s="11"/>
      <c r="AN418" s="11"/>
      <c r="AO418" s="11"/>
      <c r="AP418" s="11"/>
      <c r="AQ418" s="11"/>
      <c r="AR418" s="11"/>
      <c r="AS418" s="11"/>
      <c r="AT418" s="11"/>
      <c r="AU418" s="11"/>
      <c r="AV418" s="11"/>
      <c r="AW418" s="11"/>
      <c r="AX418" s="11"/>
      <c r="AY418" s="11"/>
      <c r="AZ418" s="11"/>
      <c r="BA418" s="11"/>
      <c r="BB418" s="11"/>
      <c r="BC418" s="11"/>
      <c r="BD418" s="11"/>
      <c r="BE418" s="11"/>
      <c r="BF418" s="11"/>
      <c r="BG418" s="11"/>
      <c r="BH418" s="11"/>
      <c r="BI418" s="11"/>
      <c r="BJ418" s="11"/>
      <c r="BK418" s="11"/>
      <c r="BL418" s="11"/>
      <c r="BM418" s="11"/>
      <c r="BN418" s="11"/>
      <c r="BO418" s="11"/>
      <c r="BP418" s="11"/>
      <c r="BQ418" s="11"/>
      <c r="BR418" s="11"/>
      <c r="BS418" s="11"/>
      <c r="BT418" s="11"/>
      <c r="BU418" s="11"/>
      <c r="BV418" s="11"/>
      <c r="BW418" s="11"/>
      <c r="BX418" s="11"/>
      <c r="BY418" s="11"/>
      <c r="BZ418" s="11"/>
      <c r="CA418" s="11"/>
      <c r="CB418" s="11"/>
      <c r="CC418" s="11"/>
      <c r="CD418" s="11"/>
      <c r="CE418" s="11"/>
      <c r="CF418" s="11"/>
      <c r="CG418" s="11"/>
      <c r="CH418" s="11"/>
      <c r="CI418" s="11"/>
      <c r="CJ418" s="11"/>
      <c r="CK418" s="11"/>
      <c r="CL418" s="11"/>
      <c r="CM418" s="11"/>
      <c r="CN418" s="11"/>
      <c r="CO418" s="11"/>
      <c r="CP418" s="11"/>
      <c r="CQ418" s="11"/>
      <c r="CR418" s="11"/>
      <c r="CS418" s="11"/>
      <c r="CT418" s="11"/>
      <c r="CU418" s="11"/>
      <c r="CV418" s="11"/>
      <c r="CW418" s="11"/>
      <c r="CX418" s="11"/>
      <c r="CY418" s="11"/>
      <c r="CZ418" s="11"/>
    </row>
    <row r="419" spans="2:104" x14ac:dyDescent="0.55000000000000004">
      <c r="B419" s="13">
        <v>18</v>
      </c>
      <c r="C419" s="7" t="s">
        <v>972</v>
      </c>
      <c r="D419" s="7" t="s">
        <v>1101</v>
      </c>
      <c r="E419" s="7" t="s">
        <v>924</v>
      </c>
      <c r="F419" s="7" t="s">
        <v>1141</v>
      </c>
      <c r="G419" s="7">
        <v>1</v>
      </c>
      <c r="H419" s="7">
        <v>0</v>
      </c>
      <c r="I419" s="7" t="s">
        <v>924</v>
      </c>
      <c r="J419" s="40" t="s">
        <v>17</v>
      </c>
      <c r="K419" s="7" t="s">
        <v>924</v>
      </c>
      <c r="L419" s="7" t="s">
        <v>924</v>
      </c>
      <c r="M419" s="7" t="s">
        <v>924</v>
      </c>
      <c r="N419" s="7" t="s">
        <v>924</v>
      </c>
      <c r="O419" s="98"/>
      <c r="P419" s="102"/>
      <c r="Q419" s="11"/>
      <c r="R419" s="11"/>
      <c r="S419" s="11"/>
      <c r="T419" s="11"/>
      <c r="U419" s="11"/>
      <c r="V419" s="11"/>
      <c r="W419" s="11"/>
      <c r="X419" s="11"/>
      <c r="Y419" s="11"/>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c r="BC419" s="11"/>
      <c r="BD419" s="11"/>
      <c r="BE419" s="11"/>
      <c r="BF419" s="11"/>
      <c r="BG419" s="11"/>
      <c r="BH419" s="11"/>
      <c r="BI419" s="11"/>
      <c r="BJ419" s="11"/>
      <c r="BK419" s="11"/>
      <c r="BL419" s="11"/>
      <c r="BM419" s="11"/>
      <c r="BN419" s="11"/>
      <c r="BO419" s="11"/>
      <c r="BP419" s="11"/>
      <c r="BQ419" s="11"/>
      <c r="BR419" s="11"/>
      <c r="BS419" s="11"/>
      <c r="BT419" s="11"/>
      <c r="BU419" s="11"/>
      <c r="BV419" s="11"/>
      <c r="BW419" s="11"/>
      <c r="BX419" s="11"/>
      <c r="BY419" s="11"/>
      <c r="BZ419" s="11"/>
      <c r="CA419" s="11"/>
      <c r="CB419" s="11"/>
      <c r="CC419" s="11"/>
      <c r="CD419" s="11"/>
      <c r="CE419" s="11"/>
      <c r="CF419" s="11"/>
      <c r="CG419" s="11"/>
      <c r="CH419" s="11"/>
      <c r="CI419" s="11"/>
      <c r="CJ419" s="11"/>
      <c r="CK419" s="11"/>
      <c r="CL419" s="11"/>
      <c r="CM419" s="11"/>
      <c r="CN419" s="11"/>
      <c r="CO419" s="11"/>
      <c r="CP419" s="11"/>
      <c r="CQ419" s="11"/>
      <c r="CR419" s="11"/>
      <c r="CS419" s="11"/>
      <c r="CT419" s="11"/>
      <c r="CU419" s="11"/>
      <c r="CV419" s="11"/>
      <c r="CW419" s="11"/>
      <c r="CX419" s="11"/>
      <c r="CY419" s="11"/>
      <c r="CZ419" s="11"/>
    </row>
    <row r="420" spans="2:104" x14ac:dyDescent="0.55000000000000004">
      <c r="B420" s="15">
        <v>19</v>
      </c>
      <c r="C420" s="7" t="s">
        <v>973</v>
      </c>
      <c r="D420" s="7" t="s">
        <v>1102</v>
      </c>
      <c r="E420" s="7" t="s">
        <v>924</v>
      </c>
      <c r="F420" s="7" t="s">
        <v>1141</v>
      </c>
      <c r="G420" s="7">
        <v>1</v>
      </c>
      <c r="H420" s="7">
        <v>0</v>
      </c>
      <c r="I420" s="7" t="s">
        <v>924</v>
      </c>
      <c r="J420" s="40" t="s">
        <v>17</v>
      </c>
      <c r="K420" s="7" t="s">
        <v>924</v>
      </c>
      <c r="L420" s="7" t="s">
        <v>924</v>
      </c>
      <c r="M420" s="7" t="s">
        <v>924</v>
      </c>
      <c r="N420" s="7" t="s">
        <v>924</v>
      </c>
      <c r="O420" s="98"/>
      <c r="P420" s="102"/>
      <c r="Q420" s="11"/>
      <c r="R420" s="11"/>
      <c r="S420" s="11"/>
      <c r="T420" s="11"/>
      <c r="U420" s="11"/>
      <c r="V420" s="11"/>
      <c r="W420" s="11"/>
      <c r="X420" s="11"/>
      <c r="Y420" s="11"/>
      <c r="Z420" s="11"/>
      <c r="AA420" s="11"/>
      <c r="AB420" s="11"/>
      <c r="AC420" s="11"/>
      <c r="AD420" s="11"/>
      <c r="AE420" s="11"/>
      <c r="AF420" s="11"/>
      <c r="AG420" s="11"/>
      <c r="AH420" s="11"/>
      <c r="AI420" s="11"/>
      <c r="AJ420" s="11"/>
      <c r="AK420" s="11"/>
      <c r="AL420" s="11"/>
      <c r="AM420" s="11"/>
      <c r="AN420" s="11"/>
      <c r="AO420" s="11"/>
      <c r="AP420" s="11"/>
      <c r="AQ420" s="11"/>
      <c r="AR420" s="11"/>
      <c r="AS420" s="11"/>
      <c r="AT420" s="11"/>
      <c r="AU420" s="11"/>
      <c r="AV420" s="11"/>
      <c r="AW420" s="11"/>
      <c r="AX420" s="11"/>
      <c r="AY420" s="11"/>
      <c r="AZ420" s="11"/>
      <c r="BA420" s="11"/>
      <c r="BB420" s="11"/>
      <c r="BC420" s="11"/>
      <c r="BD420" s="11"/>
      <c r="BE420" s="11"/>
      <c r="BF420" s="11"/>
      <c r="BG420" s="11"/>
      <c r="BH420" s="11"/>
      <c r="BI420" s="11"/>
      <c r="BJ420" s="11"/>
      <c r="BK420" s="11"/>
      <c r="BL420" s="11"/>
      <c r="BM420" s="11"/>
      <c r="BN420" s="11"/>
      <c r="BO420" s="11"/>
      <c r="BP420" s="11"/>
      <c r="BQ420" s="11"/>
      <c r="BR420" s="11"/>
      <c r="BS420" s="11"/>
      <c r="BT420" s="11"/>
      <c r="BU420" s="11"/>
      <c r="BV420" s="11"/>
      <c r="BW420" s="11"/>
      <c r="BX420" s="11"/>
      <c r="BY420" s="11"/>
      <c r="BZ420" s="11"/>
      <c r="CA420" s="11"/>
      <c r="CB420" s="11"/>
      <c r="CC420" s="11"/>
      <c r="CD420" s="11"/>
      <c r="CE420" s="11"/>
      <c r="CF420" s="11"/>
      <c r="CG420" s="11"/>
      <c r="CH420" s="11"/>
      <c r="CI420" s="11"/>
      <c r="CJ420" s="11"/>
      <c r="CK420" s="11"/>
      <c r="CL420" s="11"/>
      <c r="CM420" s="11"/>
      <c r="CN420" s="11"/>
      <c r="CO420" s="11"/>
      <c r="CP420" s="11"/>
      <c r="CQ420" s="11"/>
      <c r="CR420" s="11"/>
      <c r="CS420" s="11"/>
      <c r="CT420" s="11"/>
      <c r="CU420" s="11"/>
      <c r="CV420" s="11"/>
      <c r="CW420" s="11"/>
      <c r="CX420" s="11"/>
      <c r="CY420" s="11"/>
      <c r="CZ420" s="11"/>
    </row>
    <row r="421" spans="2:104" x14ac:dyDescent="0.55000000000000004">
      <c r="B421" s="13">
        <v>20</v>
      </c>
      <c r="C421" s="7" t="s">
        <v>974</v>
      </c>
      <c r="D421" s="7" t="s">
        <v>1103</v>
      </c>
      <c r="E421" s="7" t="s">
        <v>924</v>
      </c>
      <c r="F421" s="7" t="s">
        <v>1141</v>
      </c>
      <c r="G421" s="7">
        <v>1</v>
      </c>
      <c r="H421" s="7">
        <v>0</v>
      </c>
      <c r="I421" s="7" t="s">
        <v>924</v>
      </c>
      <c r="J421" s="40" t="s">
        <v>17</v>
      </c>
      <c r="K421" s="7" t="s">
        <v>924</v>
      </c>
      <c r="L421" s="7" t="s">
        <v>924</v>
      </c>
      <c r="M421" s="7" t="s">
        <v>924</v>
      </c>
      <c r="N421" s="7" t="s">
        <v>924</v>
      </c>
      <c r="O421" s="98"/>
      <c r="P421" s="102"/>
      <c r="Q421" s="11"/>
      <c r="R421" s="11"/>
      <c r="S421" s="11"/>
      <c r="T421" s="11"/>
      <c r="U421" s="11"/>
      <c r="V421" s="11"/>
      <c r="W421" s="11"/>
      <c r="X421" s="11"/>
      <c r="Y421" s="11"/>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c r="BC421" s="11"/>
      <c r="BD421" s="11"/>
      <c r="BE421" s="11"/>
      <c r="BF421" s="11"/>
      <c r="BG421" s="11"/>
      <c r="BH421" s="11"/>
      <c r="BI421" s="11"/>
      <c r="BJ421" s="11"/>
      <c r="BK421" s="11"/>
      <c r="BL421" s="11"/>
      <c r="BM421" s="11"/>
      <c r="BN421" s="11"/>
      <c r="BO421" s="11"/>
      <c r="BP421" s="11"/>
      <c r="BQ421" s="11"/>
      <c r="BR421" s="11"/>
      <c r="BS421" s="11"/>
      <c r="BT421" s="11"/>
      <c r="BU421" s="11"/>
      <c r="BV421" s="11"/>
      <c r="BW421" s="11"/>
      <c r="BX421" s="11"/>
      <c r="BY421" s="11"/>
      <c r="BZ421" s="11"/>
      <c r="CA421" s="11"/>
      <c r="CB421" s="11"/>
      <c r="CC421" s="11"/>
      <c r="CD421" s="11"/>
      <c r="CE421" s="11"/>
      <c r="CF421" s="11"/>
      <c r="CG421" s="11"/>
      <c r="CH421" s="11"/>
      <c r="CI421" s="11"/>
      <c r="CJ421" s="11"/>
      <c r="CK421" s="11"/>
      <c r="CL421" s="11"/>
      <c r="CM421" s="11"/>
      <c r="CN421" s="11"/>
      <c r="CO421" s="11"/>
      <c r="CP421" s="11"/>
      <c r="CQ421" s="11"/>
      <c r="CR421" s="11"/>
      <c r="CS421" s="11"/>
      <c r="CT421" s="11"/>
      <c r="CU421" s="11"/>
      <c r="CV421" s="11"/>
      <c r="CW421" s="11"/>
      <c r="CX421" s="11"/>
      <c r="CY421" s="11"/>
      <c r="CZ421" s="11"/>
    </row>
    <row r="422" spans="2:104" x14ac:dyDescent="0.55000000000000004">
      <c r="B422" s="15">
        <v>21</v>
      </c>
      <c r="C422" s="7" t="s">
        <v>975</v>
      </c>
      <c r="D422" s="7" t="s">
        <v>1104</v>
      </c>
      <c r="E422" s="7" t="s">
        <v>924</v>
      </c>
      <c r="F422" s="7" t="s">
        <v>1141</v>
      </c>
      <c r="G422" s="7">
        <v>1</v>
      </c>
      <c r="H422" s="7">
        <v>0</v>
      </c>
      <c r="I422" s="7" t="s">
        <v>924</v>
      </c>
      <c r="J422" s="40" t="s">
        <v>17</v>
      </c>
      <c r="K422" s="7" t="s">
        <v>924</v>
      </c>
      <c r="L422" s="7" t="s">
        <v>924</v>
      </c>
      <c r="M422" s="7" t="s">
        <v>924</v>
      </c>
      <c r="N422" s="7" t="s">
        <v>924</v>
      </c>
      <c r="O422" s="98"/>
      <c r="P422" s="102"/>
      <c r="Q422" s="11"/>
      <c r="R422" s="11"/>
      <c r="S422" s="11"/>
      <c r="T422" s="11"/>
      <c r="U422" s="11"/>
      <c r="V422" s="11"/>
      <c r="W422" s="11"/>
      <c r="X422" s="11"/>
      <c r="Y422" s="11"/>
      <c r="Z422" s="11"/>
      <c r="AA422" s="11"/>
      <c r="AB422" s="11"/>
      <c r="AC422" s="11"/>
      <c r="AD422" s="11"/>
      <c r="AE422" s="11"/>
      <c r="AF422" s="11"/>
      <c r="AG422" s="11"/>
      <c r="AH422" s="11"/>
      <c r="AI422" s="11"/>
      <c r="AJ422" s="11"/>
      <c r="AK422" s="11"/>
      <c r="AL422" s="11"/>
      <c r="AM422" s="11"/>
      <c r="AN422" s="11"/>
      <c r="AO422" s="11"/>
      <c r="AP422" s="11"/>
      <c r="AQ422" s="11"/>
      <c r="AR422" s="11"/>
      <c r="AS422" s="11"/>
      <c r="AT422" s="11"/>
      <c r="AU422" s="11"/>
      <c r="AV422" s="11"/>
      <c r="AW422" s="11"/>
      <c r="AX422" s="11"/>
      <c r="AY422" s="11"/>
      <c r="AZ422" s="11"/>
      <c r="BA422" s="11"/>
      <c r="BB422" s="11"/>
      <c r="BC422" s="11"/>
      <c r="BD422" s="11"/>
      <c r="BE422" s="11"/>
      <c r="BF422" s="11"/>
      <c r="BG422" s="11"/>
      <c r="BH422" s="11"/>
      <c r="BI422" s="11"/>
      <c r="BJ422" s="11"/>
      <c r="BK422" s="11"/>
      <c r="BL422" s="11"/>
      <c r="BM422" s="11"/>
      <c r="BN422" s="11"/>
      <c r="BO422" s="11"/>
      <c r="BP422" s="11"/>
      <c r="BQ422" s="11"/>
      <c r="BR422" s="11"/>
      <c r="BS422" s="11"/>
      <c r="BT422" s="11"/>
      <c r="BU422" s="11"/>
      <c r="BV422" s="11"/>
      <c r="BW422" s="11"/>
      <c r="BX422" s="11"/>
      <c r="BY422" s="11"/>
      <c r="BZ422" s="11"/>
      <c r="CA422" s="11"/>
      <c r="CB422" s="11"/>
      <c r="CC422" s="11"/>
      <c r="CD422" s="11"/>
      <c r="CE422" s="11"/>
      <c r="CF422" s="11"/>
      <c r="CG422" s="11"/>
      <c r="CH422" s="11"/>
      <c r="CI422" s="11"/>
      <c r="CJ422" s="11"/>
      <c r="CK422" s="11"/>
      <c r="CL422" s="11"/>
      <c r="CM422" s="11"/>
      <c r="CN422" s="11"/>
      <c r="CO422" s="11"/>
      <c r="CP422" s="11"/>
      <c r="CQ422" s="11"/>
      <c r="CR422" s="11"/>
      <c r="CS422" s="11"/>
      <c r="CT422" s="11"/>
      <c r="CU422" s="11"/>
      <c r="CV422" s="11"/>
      <c r="CW422" s="11"/>
      <c r="CX422" s="11"/>
      <c r="CY422" s="11"/>
      <c r="CZ422" s="11"/>
    </row>
    <row r="423" spans="2:104" x14ac:dyDescent="0.55000000000000004">
      <c r="B423" s="13">
        <v>22</v>
      </c>
      <c r="C423" s="7" t="s">
        <v>977</v>
      </c>
      <c r="D423" s="7" t="s">
        <v>1106</v>
      </c>
      <c r="E423" s="7" t="s">
        <v>940</v>
      </c>
      <c r="F423" s="7" t="s">
        <v>1141</v>
      </c>
      <c r="G423" s="7">
        <v>1</v>
      </c>
      <c r="H423" s="7">
        <v>12.053000000000001</v>
      </c>
      <c r="I423" s="7" t="s">
        <v>940</v>
      </c>
      <c r="J423" s="40" t="s">
        <v>17</v>
      </c>
      <c r="K423" s="7" t="s">
        <v>940</v>
      </c>
      <c r="L423" s="7" t="s">
        <v>924</v>
      </c>
      <c r="M423" s="7" t="s">
        <v>2</v>
      </c>
      <c r="N423" s="7" t="s">
        <v>924</v>
      </c>
      <c r="O423" s="98"/>
      <c r="P423" s="102"/>
      <c r="Q423" s="11"/>
      <c r="R423" s="11"/>
      <c r="S423" s="11"/>
      <c r="T423" s="11"/>
      <c r="U423" s="11"/>
      <c r="V423" s="11"/>
      <c r="W423" s="11"/>
      <c r="X423" s="11"/>
      <c r="Y423" s="11"/>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c r="BC423" s="11"/>
      <c r="BD423" s="11"/>
      <c r="BE423" s="11"/>
      <c r="BF423" s="11"/>
      <c r="BG423" s="11"/>
      <c r="BH423" s="11"/>
      <c r="BI423" s="11"/>
      <c r="BJ423" s="11"/>
      <c r="BK423" s="11"/>
      <c r="BL423" s="11"/>
      <c r="BM423" s="11"/>
      <c r="BN423" s="11"/>
      <c r="BO423" s="11"/>
      <c r="BP423" s="11"/>
      <c r="BQ423" s="11"/>
      <c r="BR423" s="11"/>
      <c r="BS423" s="11"/>
      <c r="BT423" s="11"/>
      <c r="BU423" s="11"/>
      <c r="BV423" s="11"/>
      <c r="BW423" s="11"/>
      <c r="BX423" s="11"/>
      <c r="BY423" s="11"/>
      <c r="BZ423" s="11"/>
      <c r="CA423" s="11"/>
      <c r="CB423" s="11"/>
      <c r="CC423" s="11"/>
      <c r="CD423" s="11"/>
      <c r="CE423" s="11"/>
      <c r="CF423" s="11"/>
      <c r="CG423" s="11"/>
      <c r="CH423" s="11"/>
      <c r="CI423" s="11"/>
      <c r="CJ423" s="11"/>
      <c r="CK423" s="11"/>
      <c r="CL423" s="11"/>
      <c r="CM423" s="11"/>
      <c r="CN423" s="11"/>
      <c r="CO423" s="11"/>
      <c r="CP423" s="11"/>
      <c r="CQ423" s="11"/>
      <c r="CR423" s="11"/>
      <c r="CS423" s="11"/>
      <c r="CT423" s="11"/>
      <c r="CU423" s="11"/>
      <c r="CV423" s="11"/>
      <c r="CW423" s="11"/>
      <c r="CX423" s="11"/>
      <c r="CY423" s="11"/>
      <c r="CZ423" s="11"/>
    </row>
    <row r="424" spans="2:104" x14ac:dyDescent="0.55000000000000004">
      <c r="B424" s="15">
        <v>23</v>
      </c>
      <c r="C424" s="7" t="s">
        <v>978</v>
      </c>
      <c r="D424" s="7" t="s">
        <v>1107</v>
      </c>
      <c r="E424" s="7" t="s">
        <v>17</v>
      </c>
      <c r="F424" s="7" t="s">
        <v>1141</v>
      </c>
      <c r="G424" s="7">
        <v>1</v>
      </c>
      <c r="H424" s="7">
        <v>0</v>
      </c>
      <c r="I424" s="7" t="s">
        <v>924</v>
      </c>
      <c r="J424" s="40" t="s">
        <v>17</v>
      </c>
      <c r="K424" s="7" t="s">
        <v>924</v>
      </c>
      <c r="L424" s="7" t="s">
        <v>924</v>
      </c>
      <c r="M424" s="7" t="s">
        <v>924</v>
      </c>
      <c r="N424" s="7" t="s">
        <v>924</v>
      </c>
      <c r="O424" s="98"/>
      <c r="P424" s="102"/>
      <c r="Q424" s="11"/>
      <c r="R424" s="11"/>
      <c r="S424" s="11"/>
      <c r="T424" s="11"/>
      <c r="U424" s="11"/>
      <c r="V424" s="11"/>
      <c r="W424" s="11"/>
      <c r="X424" s="11"/>
      <c r="Y424" s="11"/>
      <c r="Z424" s="11"/>
      <c r="AA424" s="11"/>
      <c r="AB424" s="11"/>
      <c r="AC424" s="11"/>
      <c r="AD424" s="11"/>
      <c r="AE424" s="11"/>
      <c r="AF424" s="11"/>
      <c r="AG424" s="11"/>
      <c r="AH424" s="11"/>
      <c r="AI424" s="11"/>
      <c r="AJ424" s="11"/>
      <c r="AK424" s="11"/>
      <c r="AL424" s="11"/>
      <c r="AM424" s="11"/>
      <c r="AN424" s="11"/>
      <c r="AO424" s="11"/>
      <c r="AP424" s="11"/>
      <c r="AQ424" s="11"/>
      <c r="AR424" s="11"/>
      <c r="AS424" s="11"/>
      <c r="AT424" s="11"/>
      <c r="AU424" s="11"/>
      <c r="AV424" s="11"/>
      <c r="AW424" s="11"/>
      <c r="AX424" s="11"/>
      <c r="AY424" s="11"/>
      <c r="AZ424" s="11"/>
      <c r="BA424" s="11"/>
      <c r="BB424" s="11"/>
      <c r="BC424" s="11"/>
      <c r="BD424" s="11"/>
      <c r="BE424" s="11"/>
      <c r="BF424" s="11"/>
      <c r="BG424" s="11"/>
      <c r="BH424" s="11"/>
      <c r="BI424" s="11"/>
      <c r="BJ424" s="11"/>
      <c r="BK424" s="11"/>
      <c r="BL424" s="11"/>
      <c r="BM424" s="11"/>
      <c r="BN424" s="11"/>
      <c r="BO424" s="11"/>
      <c r="BP424" s="11"/>
      <c r="BQ424" s="11"/>
      <c r="BR424" s="11"/>
      <c r="BS424" s="11"/>
      <c r="BT424" s="11"/>
      <c r="BU424" s="11"/>
      <c r="BV424" s="11"/>
      <c r="BW424" s="11"/>
      <c r="BX424" s="11"/>
      <c r="BY424" s="11"/>
      <c r="BZ424" s="11"/>
      <c r="CA424" s="11"/>
      <c r="CB424" s="11"/>
      <c r="CC424" s="11"/>
      <c r="CD424" s="11"/>
      <c r="CE424" s="11"/>
      <c r="CF424" s="11"/>
      <c r="CG424" s="11"/>
      <c r="CH424" s="11"/>
      <c r="CI424" s="11"/>
      <c r="CJ424" s="11"/>
      <c r="CK424" s="11"/>
      <c r="CL424" s="11"/>
      <c r="CM424" s="11"/>
      <c r="CN424" s="11"/>
      <c r="CO424" s="11"/>
      <c r="CP424" s="11"/>
      <c r="CQ424" s="11"/>
      <c r="CR424" s="11"/>
      <c r="CS424" s="11"/>
      <c r="CT424" s="11"/>
      <c r="CU424" s="11"/>
      <c r="CV424" s="11"/>
      <c r="CW424" s="11"/>
      <c r="CX424" s="11"/>
      <c r="CY424" s="11"/>
      <c r="CZ424" s="11"/>
    </row>
    <row r="425" spans="2:104" x14ac:dyDescent="0.55000000000000004">
      <c r="B425" s="13">
        <v>24</v>
      </c>
      <c r="C425" s="7" t="s">
        <v>979</v>
      </c>
      <c r="D425" s="7" t="s">
        <v>1108</v>
      </c>
      <c r="E425" s="7" t="s">
        <v>17</v>
      </c>
      <c r="F425" s="7" t="s">
        <v>1141</v>
      </c>
      <c r="G425" s="7">
        <v>1</v>
      </c>
      <c r="H425" s="7">
        <v>0</v>
      </c>
      <c r="I425" s="7" t="s">
        <v>924</v>
      </c>
      <c r="J425" s="40" t="s">
        <v>17</v>
      </c>
      <c r="K425" s="7" t="s">
        <v>924</v>
      </c>
      <c r="L425" s="7" t="s">
        <v>924</v>
      </c>
      <c r="M425" s="7" t="s">
        <v>924</v>
      </c>
      <c r="N425" s="7" t="s">
        <v>924</v>
      </c>
      <c r="O425" s="98"/>
      <c r="P425" s="102"/>
      <c r="Q425" s="11"/>
      <c r="R425" s="11"/>
      <c r="S425" s="11"/>
      <c r="T425" s="11"/>
      <c r="U425" s="11"/>
      <c r="V425" s="11"/>
      <c r="W425" s="11"/>
      <c r="X425" s="11"/>
      <c r="Y425" s="11"/>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c r="BC425" s="11"/>
      <c r="BD425" s="11"/>
      <c r="BE425" s="11"/>
      <c r="BF425" s="11"/>
      <c r="BG425" s="11"/>
      <c r="BH425" s="11"/>
      <c r="BI425" s="11"/>
      <c r="BJ425" s="11"/>
      <c r="BK425" s="11"/>
      <c r="BL425" s="11"/>
      <c r="BM425" s="11"/>
      <c r="BN425" s="11"/>
      <c r="BO425" s="11"/>
      <c r="BP425" s="11"/>
      <c r="BQ425" s="11"/>
      <c r="BR425" s="11"/>
      <c r="BS425" s="11"/>
      <c r="BT425" s="11"/>
      <c r="BU425" s="11"/>
      <c r="BV425" s="11"/>
      <c r="BW425" s="11"/>
      <c r="BX425" s="11"/>
      <c r="BY425" s="11"/>
      <c r="BZ425" s="11"/>
      <c r="CA425" s="11"/>
      <c r="CB425" s="11"/>
      <c r="CC425" s="11"/>
      <c r="CD425" s="11"/>
      <c r="CE425" s="11"/>
      <c r="CF425" s="11"/>
      <c r="CG425" s="11"/>
      <c r="CH425" s="11"/>
      <c r="CI425" s="11"/>
      <c r="CJ425" s="11"/>
      <c r="CK425" s="11"/>
      <c r="CL425" s="11"/>
      <c r="CM425" s="11"/>
      <c r="CN425" s="11"/>
      <c r="CO425" s="11"/>
      <c r="CP425" s="11"/>
      <c r="CQ425" s="11"/>
      <c r="CR425" s="11"/>
      <c r="CS425" s="11"/>
      <c r="CT425" s="11"/>
      <c r="CU425" s="11"/>
      <c r="CV425" s="11"/>
      <c r="CW425" s="11"/>
      <c r="CX425" s="11"/>
      <c r="CY425" s="11"/>
      <c r="CZ425" s="11"/>
    </row>
    <row r="426" spans="2:104" x14ac:dyDescent="0.55000000000000004">
      <c r="B426" s="15">
        <v>25</v>
      </c>
      <c r="C426" s="7" t="s">
        <v>981</v>
      </c>
      <c r="D426" s="7" t="s">
        <v>1110</v>
      </c>
      <c r="E426" s="7" t="s">
        <v>924</v>
      </c>
      <c r="F426" s="7" t="s">
        <v>951</v>
      </c>
      <c r="G426" s="7">
        <v>1</v>
      </c>
      <c r="H426" s="7">
        <v>0</v>
      </c>
      <c r="I426" s="7" t="s">
        <v>924</v>
      </c>
      <c r="J426" s="40" t="s">
        <v>17</v>
      </c>
      <c r="K426" s="7" t="s">
        <v>924</v>
      </c>
      <c r="L426" s="7" t="s">
        <v>924</v>
      </c>
      <c r="M426" s="7" t="s">
        <v>924</v>
      </c>
      <c r="N426" s="7" t="s">
        <v>924</v>
      </c>
      <c r="O426" s="98"/>
      <c r="P426" s="102"/>
      <c r="Q426" s="11"/>
      <c r="R426" s="11"/>
      <c r="S426" s="11"/>
      <c r="T426" s="11"/>
      <c r="U426" s="11"/>
      <c r="V426" s="11"/>
      <c r="W426" s="11"/>
      <c r="X426" s="11"/>
      <c r="Y426" s="11"/>
      <c r="Z426" s="11"/>
      <c r="AA426" s="11"/>
      <c r="AB426" s="11"/>
      <c r="AC426" s="11"/>
      <c r="AD426" s="11"/>
      <c r="AE426" s="11"/>
      <c r="AF426" s="11"/>
      <c r="AG426" s="11"/>
      <c r="AH426" s="11"/>
      <c r="AI426" s="11"/>
      <c r="AJ426" s="11"/>
      <c r="AK426" s="11"/>
      <c r="AL426" s="11"/>
      <c r="AM426" s="11"/>
      <c r="AN426" s="11"/>
      <c r="AO426" s="11"/>
      <c r="AP426" s="11"/>
      <c r="AQ426" s="11"/>
      <c r="AR426" s="11"/>
      <c r="AS426" s="11"/>
      <c r="AT426" s="11"/>
      <c r="AU426" s="11"/>
      <c r="AV426" s="11"/>
      <c r="AW426" s="11"/>
      <c r="AX426" s="11"/>
      <c r="AY426" s="11"/>
      <c r="AZ426" s="11"/>
      <c r="BA426" s="11"/>
      <c r="BB426" s="11"/>
      <c r="BC426" s="11"/>
      <c r="BD426" s="11"/>
      <c r="BE426" s="11"/>
      <c r="BF426" s="11"/>
      <c r="BG426" s="11"/>
      <c r="BH426" s="11"/>
      <c r="BI426" s="11"/>
      <c r="BJ426" s="11"/>
      <c r="BK426" s="11"/>
      <c r="BL426" s="11"/>
      <c r="BM426" s="11"/>
      <c r="BN426" s="11"/>
      <c r="BO426" s="11"/>
      <c r="BP426" s="11"/>
      <c r="BQ426" s="11"/>
      <c r="BR426" s="11"/>
      <c r="BS426" s="11"/>
      <c r="BT426" s="11"/>
      <c r="BU426" s="11"/>
      <c r="BV426" s="11"/>
      <c r="BW426" s="11"/>
      <c r="BX426" s="11"/>
      <c r="BY426" s="11"/>
      <c r="BZ426" s="11"/>
      <c r="CA426" s="11"/>
      <c r="CB426" s="11"/>
      <c r="CC426" s="11"/>
      <c r="CD426" s="11"/>
      <c r="CE426" s="11"/>
      <c r="CF426" s="11"/>
      <c r="CG426" s="11"/>
      <c r="CH426" s="11"/>
      <c r="CI426" s="11"/>
      <c r="CJ426" s="11"/>
      <c r="CK426" s="11"/>
      <c r="CL426" s="11"/>
      <c r="CM426" s="11"/>
      <c r="CN426" s="11"/>
      <c r="CO426" s="11"/>
      <c r="CP426" s="11"/>
      <c r="CQ426" s="11"/>
      <c r="CR426" s="11"/>
      <c r="CS426" s="11"/>
      <c r="CT426" s="11"/>
      <c r="CU426" s="11"/>
      <c r="CV426" s="11"/>
      <c r="CW426" s="11"/>
      <c r="CX426" s="11"/>
      <c r="CY426" s="11"/>
      <c r="CZ426" s="11"/>
    </row>
    <row r="427" spans="2:104" x14ac:dyDescent="0.55000000000000004">
      <c r="B427" s="13">
        <v>26</v>
      </c>
      <c r="C427" s="7" t="s">
        <v>982</v>
      </c>
      <c r="D427" s="7" t="s">
        <v>1111</v>
      </c>
      <c r="E427" s="7" t="s">
        <v>924</v>
      </c>
      <c r="F427" s="7" t="s">
        <v>951</v>
      </c>
      <c r="G427" s="7">
        <v>1</v>
      </c>
      <c r="H427" s="7">
        <v>0</v>
      </c>
      <c r="I427" s="7" t="s">
        <v>924</v>
      </c>
      <c r="J427" s="40" t="s">
        <v>17</v>
      </c>
      <c r="K427" s="7" t="s">
        <v>924</v>
      </c>
      <c r="L427" s="7" t="s">
        <v>924</v>
      </c>
      <c r="M427" s="7" t="s">
        <v>924</v>
      </c>
      <c r="N427" s="7" t="s">
        <v>924</v>
      </c>
      <c r="O427" s="98"/>
      <c r="P427" s="102"/>
      <c r="Q427" s="11"/>
      <c r="R427" s="11"/>
      <c r="S427" s="11"/>
      <c r="T427" s="11"/>
      <c r="U427" s="11"/>
      <c r="V427" s="11"/>
      <c r="W427" s="11"/>
      <c r="X427" s="11"/>
      <c r="Y427" s="11"/>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c r="BC427" s="11"/>
      <c r="BD427" s="11"/>
      <c r="BE427" s="11"/>
      <c r="BF427" s="11"/>
      <c r="BG427" s="11"/>
      <c r="BH427" s="11"/>
      <c r="BI427" s="11"/>
      <c r="BJ427" s="11"/>
      <c r="BK427" s="11"/>
      <c r="BL427" s="11"/>
      <c r="BM427" s="11"/>
      <c r="BN427" s="11"/>
      <c r="BO427" s="11"/>
      <c r="BP427" s="11"/>
      <c r="BQ427" s="11"/>
      <c r="BR427" s="11"/>
      <c r="BS427" s="11"/>
      <c r="BT427" s="11"/>
      <c r="BU427" s="11"/>
      <c r="BV427" s="11"/>
      <c r="BW427" s="11"/>
      <c r="BX427" s="11"/>
      <c r="BY427" s="11"/>
      <c r="BZ427" s="11"/>
      <c r="CA427" s="11"/>
      <c r="CB427" s="11"/>
      <c r="CC427" s="11"/>
      <c r="CD427" s="11"/>
      <c r="CE427" s="11"/>
      <c r="CF427" s="11"/>
      <c r="CG427" s="11"/>
      <c r="CH427" s="11"/>
      <c r="CI427" s="11"/>
      <c r="CJ427" s="11"/>
      <c r="CK427" s="11"/>
      <c r="CL427" s="11"/>
      <c r="CM427" s="11"/>
      <c r="CN427" s="11"/>
      <c r="CO427" s="11"/>
      <c r="CP427" s="11"/>
      <c r="CQ427" s="11"/>
      <c r="CR427" s="11"/>
      <c r="CS427" s="11"/>
      <c r="CT427" s="11"/>
      <c r="CU427" s="11"/>
      <c r="CV427" s="11"/>
      <c r="CW427" s="11"/>
      <c r="CX427" s="11"/>
      <c r="CY427" s="11"/>
      <c r="CZ427" s="11"/>
    </row>
    <row r="428" spans="2:104" x14ac:dyDescent="0.55000000000000004">
      <c r="B428" s="15">
        <v>27</v>
      </c>
      <c r="C428" s="7" t="s">
        <v>983</v>
      </c>
      <c r="D428" s="7" t="s">
        <v>1112</v>
      </c>
      <c r="E428" s="7" t="s">
        <v>924</v>
      </c>
      <c r="F428" s="7" t="s">
        <v>951</v>
      </c>
      <c r="G428" s="7">
        <v>1</v>
      </c>
      <c r="H428" s="7">
        <v>0</v>
      </c>
      <c r="I428" s="7" t="s">
        <v>924</v>
      </c>
      <c r="J428" s="40" t="s">
        <v>17</v>
      </c>
      <c r="K428" s="7" t="s">
        <v>924</v>
      </c>
      <c r="L428" s="7" t="s">
        <v>924</v>
      </c>
      <c r="M428" s="7" t="s">
        <v>924</v>
      </c>
      <c r="N428" s="7" t="s">
        <v>924</v>
      </c>
      <c r="O428" s="98"/>
      <c r="P428" s="102"/>
      <c r="Q428" s="11"/>
      <c r="R428" s="11"/>
      <c r="S428" s="11"/>
      <c r="T428" s="11"/>
      <c r="U428" s="11"/>
      <c r="V428" s="11"/>
      <c r="W428" s="11"/>
      <c r="X428" s="11"/>
      <c r="Y428" s="11"/>
      <c r="Z428" s="11"/>
      <c r="AA428" s="11"/>
      <c r="AB428" s="11"/>
      <c r="AC428" s="11"/>
      <c r="AD428" s="11"/>
      <c r="AE428" s="11"/>
      <c r="AF428" s="11"/>
      <c r="AG428" s="11"/>
      <c r="AH428" s="11"/>
      <c r="AI428" s="11"/>
      <c r="AJ428" s="11"/>
      <c r="AK428" s="11"/>
      <c r="AL428" s="11"/>
      <c r="AM428" s="11"/>
      <c r="AN428" s="11"/>
      <c r="AO428" s="11"/>
      <c r="AP428" s="11"/>
      <c r="AQ428" s="11"/>
      <c r="AR428" s="11"/>
      <c r="AS428" s="11"/>
      <c r="AT428" s="11"/>
      <c r="AU428" s="11"/>
      <c r="AV428" s="11"/>
      <c r="AW428" s="11"/>
      <c r="AX428" s="11"/>
      <c r="AY428" s="11"/>
      <c r="AZ428" s="11"/>
      <c r="BA428" s="11"/>
      <c r="BB428" s="11"/>
      <c r="BC428" s="11"/>
      <c r="BD428" s="11"/>
      <c r="BE428" s="11"/>
      <c r="BF428" s="11"/>
      <c r="BG428" s="11"/>
      <c r="BH428" s="11"/>
      <c r="BI428" s="11"/>
      <c r="BJ428" s="11"/>
      <c r="BK428" s="11"/>
      <c r="BL428" s="11"/>
      <c r="BM428" s="11"/>
      <c r="BN428" s="11"/>
      <c r="BO428" s="11"/>
      <c r="BP428" s="11"/>
      <c r="BQ428" s="11"/>
      <c r="BR428" s="11"/>
      <c r="BS428" s="11"/>
      <c r="BT428" s="11"/>
      <c r="BU428" s="11"/>
      <c r="BV428" s="11"/>
      <c r="BW428" s="11"/>
      <c r="BX428" s="11"/>
      <c r="BY428" s="11"/>
      <c r="BZ428" s="11"/>
      <c r="CA428" s="11"/>
      <c r="CB428" s="11"/>
      <c r="CC428" s="11"/>
      <c r="CD428" s="11"/>
      <c r="CE428" s="11"/>
      <c r="CF428" s="11"/>
      <c r="CG428" s="11"/>
      <c r="CH428" s="11"/>
      <c r="CI428" s="11"/>
      <c r="CJ428" s="11"/>
      <c r="CK428" s="11"/>
      <c r="CL428" s="11"/>
      <c r="CM428" s="11"/>
      <c r="CN428" s="11"/>
      <c r="CO428" s="11"/>
      <c r="CP428" s="11"/>
      <c r="CQ428" s="11"/>
      <c r="CR428" s="11"/>
      <c r="CS428" s="11"/>
      <c r="CT428" s="11"/>
      <c r="CU428" s="11"/>
      <c r="CV428" s="11"/>
      <c r="CW428" s="11"/>
      <c r="CX428" s="11"/>
      <c r="CY428" s="11"/>
      <c r="CZ428" s="11"/>
    </row>
    <row r="429" spans="2:104" x14ac:dyDescent="0.55000000000000004">
      <c r="B429" s="13">
        <v>28</v>
      </c>
      <c r="C429" s="7" t="s">
        <v>984</v>
      </c>
      <c r="D429" s="7" t="s">
        <v>1113</v>
      </c>
      <c r="E429" s="7" t="s">
        <v>924</v>
      </c>
      <c r="F429" s="7" t="s">
        <v>951</v>
      </c>
      <c r="G429" s="7">
        <v>1</v>
      </c>
      <c r="H429" s="7">
        <v>0</v>
      </c>
      <c r="I429" s="7" t="s">
        <v>924</v>
      </c>
      <c r="J429" s="40" t="s">
        <v>17</v>
      </c>
      <c r="K429" s="7" t="s">
        <v>924</v>
      </c>
      <c r="L429" s="7" t="s">
        <v>924</v>
      </c>
      <c r="M429" s="7" t="s">
        <v>924</v>
      </c>
      <c r="N429" s="7" t="s">
        <v>924</v>
      </c>
      <c r="O429" s="98"/>
      <c r="P429" s="102"/>
      <c r="Q429" s="11"/>
      <c r="R429" s="11"/>
      <c r="S429" s="11"/>
      <c r="T429" s="11"/>
      <c r="U429" s="11"/>
      <c r="V429" s="11"/>
      <c r="W429" s="11"/>
      <c r="X429" s="11"/>
      <c r="Y429" s="11"/>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c r="BC429" s="11"/>
      <c r="BD429" s="11"/>
      <c r="BE429" s="11"/>
      <c r="BF429" s="11"/>
      <c r="BG429" s="11"/>
      <c r="BH429" s="11"/>
      <c r="BI429" s="11"/>
      <c r="BJ429" s="11"/>
      <c r="BK429" s="11"/>
      <c r="BL429" s="11"/>
      <c r="BM429" s="11"/>
      <c r="BN429" s="11"/>
      <c r="BO429" s="11"/>
      <c r="BP429" s="11"/>
      <c r="BQ429" s="11"/>
      <c r="BR429" s="11"/>
      <c r="BS429" s="11"/>
      <c r="BT429" s="11"/>
      <c r="BU429" s="11"/>
      <c r="BV429" s="11"/>
      <c r="BW429" s="11"/>
      <c r="BX429" s="11"/>
      <c r="BY429" s="11"/>
      <c r="BZ429" s="11"/>
      <c r="CA429" s="11"/>
      <c r="CB429" s="11"/>
      <c r="CC429" s="11"/>
      <c r="CD429" s="11"/>
      <c r="CE429" s="11"/>
      <c r="CF429" s="11"/>
      <c r="CG429" s="11"/>
      <c r="CH429" s="11"/>
      <c r="CI429" s="11"/>
      <c r="CJ429" s="11"/>
      <c r="CK429" s="11"/>
      <c r="CL429" s="11"/>
      <c r="CM429" s="11"/>
      <c r="CN429" s="11"/>
      <c r="CO429" s="11"/>
      <c r="CP429" s="11"/>
      <c r="CQ429" s="11"/>
      <c r="CR429" s="11"/>
      <c r="CS429" s="11"/>
      <c r="CT429" s="11"/>
      <c r="CU429" s="11"/>
      <c r="CV429" s="11"/>
      <c r="CW429" s="11"/>
      <c r="CX429" s="11"/>
      <c r="CY429" s="11"/>
      <c r="CZ429" s="11"/>
    </row>
    <row r="430" spans="2:104" x14ac:dyDescent="0.55000000000000004">
      <c r="B430" s="15">
        <v>29</v>
      </c>
      <c r="C430" s="7" t="s">
        <v>985</v>
      </c>
      <c r="D430" s="7" t="s">
        <v>1114</v>
      </c>
      <c r="E430" s="7" t="s">
        <v>924</v>
      </c>
      <c r="F430" s="7" t="s">
        <v>951</v>
      </c>
      <c r="G430" s="7">
        <v>1</v>
      </c>
      <c r="H430" s="7">
        <v>0</v>
      </c>
      <c r="I430" s="7" t="s">
        <v>924</v>
      </c>
      <c r="J430" s="40" t="s">
        <v>17</v>
      </c>
      <c r="K430" s="7" t="s">
        <v>924</v>
      </c>
      <c r="L430" s="7" t="s">
        <v>924</v>
      </c>
      <c r="M430" s="7" t="s">
        <v>924</v>
      </c>
      <c r="N430" s="7" t="s">
        <v>924</v>
      </c>
      <c r="O430" s="98"/>
      <c r="P430" s="102"/>
      <c r="Q430" s="11"/>
      <c r="R430" s="11"/>
      <c r="S430" s="11"/>
      <c r="T430" s="11"/>
      <c r="U430" s="11"/>
      <c r="V430" s="11"/>
      <c r="W430" s="11"/>
      <c r="X430" s="11"/>
      <c r="Y430" s="11"/>
      <c r="Z430" s="11"/>
      <c r="AA430" s="11"/>
      <c r="AB430" s="11"/>
      <c r="AC430" s="11"/>
      <c r="AD430" s="11"/>
      <c r="AE430" s="11"/>
      <c r="AF430" s="11"/>
      <c r="AG430" s="11"/>
      <c r="AH430" s="11"/>
      <c r="AI430" s="11"/>
      <c r="AJ430" s="11"/>
      <c r="AK430" s="11"/>
      <c r="AL430" s="11"/>
      <c r="AM430" s="11"/>
      <c r="AN430" s="11"/>
      <c r="AO430" s="11"/>
      <c r="AP430" s="11"/>
      <c r="AQ430" s="11"/>
      <c r="AR430" s="11"/>
      <c r="AS430" s="11"/>
      <c r="AT430" s="11"/>
      <c r="AU430" s="11"/>
      <c r="AV430" s="11"/>
      <c r="AW430" s="11"/>
      <c r="AX430" s="11"/>
      <c r="AY430" s="11"/>
      <c r="AZ430" s="11"/>
      <c r="BA430" s="11"/>
      <c r="BB430" s="11"/>
      <c r="BC430" s="11"/>
      <c r="BD430" s="11"/>
      <c r="BE430" s="11"/>
      <c r="BF430" s="11"/>
      <c r="BG430" s="11"/>
      <c r="BH430" s="11"/>
      <c r="BI430" s="11"/>
      <c r="BJ430" s="11"/>
      <c r="BK430" s="11"/>
      <c r="BL430" s="11"/>
      <c r="BM430" s="11"/>
      <c r="BN430" s="11"/>
      <c r="BO430" s="11"/>
      <c r="BP430" s="11"/>
      <c r="BQ430" s="11"/>
      <c r="BR430" s="11"/>
      <c r="BS430" s="11"/>
      <c r="BT430" s="11"/>
      <c r="BU430" s="11"/>
      <c r="BV430" s="11"/>
      <c r="BW430" s="11"/>
      <c r="BX430" s="11"/>
      <c r="BY430" s="11"/>
      <c r="BZ430" s="11"/>
      <c r="CA430" s="11"/>
      <c r="CB430" s="11"/>
      <c r="CC430" s="11"/>
      <c r="CD430" s="11"/>
      <c r="CE430" s="11"/>
      <c r="CF430" s="11"/>
      <c r="CG430" s="11"/>
      <c r="CH430" s="11"/>
      <c r="CI430" s="11"/>
      <c r="CJ430" s="11"/>
      <c r="CK430" s="11"/>
      <c r="CL430" s="11"/>
      <c r="CM430" s="11"/>
      <c r="CN430" s="11"/>
      <c r="CO430" s="11"/>
      <c r="CP430" s="11"/>
      <c r="CQ430" s="11"/>
      <c r="CR430" s="11"/>
      <c r="CS430" s="11"/>
      <c r="CT430" s="11"/>
      <c r="CU430" s="11"/>
      <c r="CV430" s="11"/>
      <c r="CW430" s="11"/>
      <c r="CX430" s="11"/>
      <c r="CY430" s="11"/>
      <c r="CZ430" s="11"/>
    </row>
    <row r="431" spans="2:104" x14ac:dyDescent="0.55000000000000004">
      <c r="B431" s="13">
        <v>30</v>
      </c>
      <c r="C431" s="7" t="s">
        <v>986</v>
      </c>
      <c r="D431" s="7" t="s">
        <v>1115</v>
      </c>
      <c r="E431" s="7" t="s">
        <v>924</v>
      </c>
      <c r="F431" s="7" t="s">
        <v>951</v>
      </c>
      <c r="G431" s="7">
        <v>1</v>
      </c>
      <c r="H431" s="7">
        <v>0</v>
      </c>
      <c r="I431" s="7" t="s">
        <v>924</v>
      </c>
      <c r="J431" s="40" t="s">
        <v>17</v>
      </c>
      <c r="K431" s="7" t="s">
        <v>924</v>
      </c>
      <c r="L431" s="7" t="s">
        <v>924</v>
      </c>
      <c r="M431" s="7" t="s">
        <v>924</v>
      </c>
      <c r="N431" s="7" t="s">
        <v>924</v>
      </c>
      <c r="O431" s="98"/>
      <c r="P431" s="102"/>
      <c r="Q431" s="11"/>
      <c r="R431" s="11"/>
      <c r="S431" s="11"/>
      <c r="T431" s="11"/>
      <c r="U431" s="11"/>
      <c r="V431" s="11"/>
      <c r="W431" s="11"/>
      <c r="X431" s="11"/>
      <c r="Y431" s="11"/>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c r="BC431" s="11"/>
      <c r="BD431" s="11"/>
      <c r="BE431" s="11"/>
      <c r="BF431" s="11"/>
      <c r="BG431" s="11"/>
      <c r="BH431" s="11"/>
      <c r="BI431" s="11"/>
      <c r="BJ431" s="11"/>
      <c r="BK431" s="11"/>
      <c r="BL431" s="11"/>
      <c r="BM431" s="11"/>
      <c r="BN431" s="11"/>
      <c r="BO431" s="11"/>
      <c r="BP431" s="11"/>
      <c r="BQ431" s="11"/>
      <c r="BR431" s="11"/>
      <c r="BS431" s="11"/>
      <c r="BT431" s="11"/>
      <c r="BU431" s="11"/>
      <c r="BV431" s="11"/>
      <c r="BW431" s="11"/>
      <c r="BX431" s="11"/>
      <c r="BY431" s="11"/>
      <c r="BZ431" s="11"/>
      <c r="CA431" s="11"/>
      <c r="CB431" s="11"/>
      <c r="CC431" s="11"/>
      <c r="CD431" s="11"/>
      <c r="CE431" s="11"/>
      <c r="CF431" s="11"/>
      <c r="CG431" s="11"/>
      <c r="CH431" s="11"/>
      <c r="CI431" s="11"/>
      <c r="CJ431" s="11"/>
      <c r="CK431" s="11"/>
      <c r="CL431" s="11"/>
      <c r="CM431" s="11"/>
      <c r="CN431" s="11"/>
      <c r="CO431" s="11"/>
      <c r="CP431" s="11"/>
      <c r="CQ431" s="11"/>
      <c r="CR431" s="11"/>
      <c r="CS431" s="11"/>
      <c r="CT431" s="11"/>
      <c r="CU431" s="11"/>
      <c r="CV431" s="11"/>
      <c r="CW431" s="11"/>
      <c r="CX431" s="11"/>
      <c r="CY431" s="11"/>
      <c r="CZ431" s="11"/>
    </row>
    <row r="432" spans="2:104" x14ac:dyDescent="0.55000000000000004">
      <c r="B432" s="15">
        <v>31</v>
      </c>
      <c r="C432" s="7" t="s">
        <v>987</v>
      </c>
      <c r="D432" s="7" t="s">
        <v>1116</v>
      </c>
      <c r="E432" s="7" t="s">
        <v>924</v>
      </c>
      <c r="F432" s="7" t="s">
        <v>951</v>
      </c>
      <c r="G432" s="7">
        <v>1</v>
      </c>
      <c r="H432" s="7">
        <v>0</v>
      </c>
      <c r="I432" s="7" t="s">
        <v>924</v>
      </c>
      <c r="J432" s="40" t="s">
        <v>17</v>
      </c>
      <c r="K432" s="7" t="s">
        <v>924</v>
      </c>
      <c r="L432" s="7" t="s">
        <v>924</v>
      </c>
      <c r="M432" s="7" t="s">
        <v>924</v>
      </c>
      <c r="N432" s="7" t="s">
        <v>924</v>
      </c>
      <c r="O432" s="98"/>
      <c r="P432" s="102"/>
      <c r="Q432" s="11"/>
      <c r="R432" s="11"/>
      <c r="S432" s="11"/>
      <c r="T432" s="11"/>
      <c r="U432" s="11"/>
      <c r="V432" s="11"/>
      <c r="W432" s="11"/>
      <c r="X432" s="11"/>
      <c r="Y432" s="11"/>
      <c r="Z432" s="11"/>
      <c r="AA432" s="11"/>
      <c r="AB432" s="11"/>
      <c r="AC432" s="11"/>
      <c r="AD432" s="11"/>
      <c r="AE432" s="11"/>
      <c r="AF432" s="11"/>
      <c r="AG432" s="11"/>
      <c r="AH432" s="11"/>
      <c r="AI432" s="11"/>
      <c r="AJ432" s="11"/>
      <c r="AK432" s="11"/>
      <c r="AL432" s="11"/>
      <c r="AM432" s="11"/>
      <c r="AN432" s="11"/>
      <c r="AO432" s="11"/>
      <c r="AP432" s="11"/>
      <c r="AQ432" s="11"/>
      <c r="AR432" s="11"/>
      <c r="AS432" s="11"/>
      <c r="AT432" s="11"/>
      <c r="AU432" s="11"/>
      <c r="AV432" s="11"/>
      <c r="AW432" s="11"/>
      <c r="AX432" s="11"/>
      <c r="AY432" s="11"/>
      <c r="AZ432" s="11"/>
      <c r="BA432" s="11"/>
      <c r="BB432" s="11"/>
      <c r="BC432" s="11"/>
      <c r="BD432" s="11"/>
      <c r="BE432" s="11"/>
      <c r="BF432" s="11"/>
      <c r="BG432" s="11"/>
      <c r="BH432" s="11"/>
      <c r="BI432" s="11"/>
      <c r="BJ432" s="11"/>
      <c r="BK432" s="11"/>
      <c r="BL432" s="11"/>
      <c r="BM432" s="11"/>
      <c r="BN432" s="11"/>
      <c r="BO432" s="11"/>
      <c r="BP432" s="11"/>
      <c r="BQ432" s="11"/>
      <c r="BR432" s="11"/>
      <c r="BS432" s="11"/>
      <c r="BT432" s="11"/>
      <c r="BU432" s="11"/>
      <c r="BV432" s="11"/>
      <c r="BW432" s="11"/>
      <c r="BX432" s="11"/>
      <c r="BY432" s="11"/>
      <c r="BZ432" s="11"/>
      <c r="CA432" s="11"/>
      <c r="CB432" s="11"/>
      <c r="CC432" s="11"/>
      <c r="CD432" s="11"/>
      <c r="CE432" s="11"/>
      <c r="CF432" s="11"/>
      <c r="CG432" s="11"/>
      <c r="CH432" s="11"/>
      <c r="CI432" s="11"/>
      <c r="CJ432" s="11"/>
      <c r="CK432" s="11"/>
      <c r="CL432" s="11"/>
      <c r="CM432" s="11"/>
      <c r="CN432" s="11"/>
      <c r="CO432" s="11"/>
      <c r="CP432" s="11"/>
      <c r="CQ432" s="11"/>
      <c r="CR432" s="11"/>
      <c r="CS432" s="11"/>
      <c r="CT432" s="11"/>
      <c r="CU432" s="11"/>
      <c r="CV432" s="11"/>
      <c r="CW432" s="11"/>
      <c r="CX432" s="11"/>
      <c r="CY432" s="11"/>
      <c r="CZ432" s="11"/>
    </row>
    <row r="433" spans="1:104" x14ac:dyDescent="0.55000000000000004">
      <c r="B433" s="13">
        <v>32</v>
      </c>
      <c r="C433" s="7" t="s">
        <v>988</v>
      </c>
      <c r="D433" s="7" t="s">
        <v>1117</v>
      </c>
      <c r="E433" s="7" t="s">
        <v>924</v>
      </c>
      <c r="F433" s="7" t="s">
        <v>951</v>
      </c>
      <c r="G433" s="7">
        <v>1</v>
      </c>
      <c r="H433" s="7">
        <v>0</v>
      </c>
      <c r="I433" s="7" t="s">
        <v>924</v>
      </c>
      <c r="J433" s="40" t="s">
        <v>17</v>
      </c>
      <c r="K433" s="7" t="s">
        <v>924</v>
      </c>
      <c r="L433" s="7" t="s">
        <v>924</v>
      </c>
      <c r="M433" s="7" t="s">
        <v>924</v>
      </c>
      <c r="N433" s="7" t="s">
        <v>924</v>
      </c>
      <c r="O433" s="98"/>
      <c r="P433" s="102"/>
      <c r="Q433" s="11"/>
      <c r="R433" s="11"/>
      <c r="S433" s="11"/>
      <c r="T433" s="11"/>
      <c r="U433" s="11"/>
      <c r="V433" s="11"/>
      <c r="W433" s="11"/>
      <c r="X433" s="11"/>
      <c r="Y433" s="11"/>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c r="BC433" s="11"/>
      <c r="BD433" s="11"/>
      <c r="BE433" s="11"/>
      <c r="BF433" s="11"/>
      <c r="BG433" s="11"/>
      <c r="BH433" s="11"/>
      <c r="BI433" s="11"/>
      <c r="BJ433" s="11"/>
      <c r="BK433" s="11"/>
      <c r="BL433" s="11"/>
      <c r="BM433" s="11"/>
      <c r="BN433" s="11"/>
      <c r="BO433" s="11"/>
      <c r="BP433" s="11"/>
      <c r="BQ433" s="11"/>
      <c r="BR433" s="11"/>
      <c r="BS433" s="11"/>
      <c r="BT433" s="11"/>
      <c r="BU433" s="11"/>
      <c r="BV433" s="11"/>
      <c r="BW433" s="11"/>
      <c r="BX433" s="11"/>
      <c r="BY433" s="11"/>
      <c r="BZ433" s="11"/>
      <c r="CA433" s="11"/>
      <c r="CB433" s="11"/>
      <c r="CC433" s="11"/>
      <c r="CD433" s="11"/>
      <c r="CE433" s="11"/>
      <c r="CF433" s="11"/>
      <c r="CG433" s="11"/>
      <c r="CH433" s="11"/>
      <c r="CI433" s="11"/>
      <c r="CJ433" s="11"/>
      <c r="CK433" s="11"/>
      <c r="CL433" s="11"/>
      <c r="CM433" s="11"/>
      <c r="CN433" s="11"/>
      <c r="CO433" s="11"/>
      <c r="CP433" s="11"/>
      <c r="CQ433" s="11"/>
      <c r="CR433" s="11"/>
      <c r="CS433" s="11"/>
      <c r="CT433" s="11"/>
      <c r="CU433" s="11"/>
      <c r="CV433" s="11"/>
      <c r="CW433" s="11"/>
      <c r="CX433" s="11"/>
      <c r="CY433" s="11"/>
      <c r="CZ433" s="11"/>
    </row>
    <row r="434" spans="1:104" x14ac:dyDescent="0.55000000000000004">
      <c r="A434" s="30" t="s">
        <v>1862</v>
      </c>
      <c r="B434" s="15">
        <v>33</v>
      </c>
      <c r="C434" s="7" t="s">
        <v>1632</v>
      </c>
      <c r="D434" s="7" t="s">
        <v>1863</v>
      </c>
      <c r="E434" s="7" t="s">
        <v>1867</v>
      </c>
      <c r="F434" s="7" t="s">
        <v>951</v>
      </c>
      <c r="G434" s="7">
        <v>1</v>
      </c>
      <c r="H434" s="7">
        <v>0</v>
      </c>
      <c r="I434" s="7" t="s">
        <v>924</v>
      </c>
      <c r="J434" s="7" t="s">
        <v>17</v>
      </c>
      <c r="K434" s="7" t="s">
        <v>924</v>
      </c>
      <c r="L434" s="7" t="s">
        <v>924</v>
      </c>
      <c r="M434" s="7" t="s">
        <v>924</v>
      </c>
      <c r="N434" s="7" t="s">
        <v>924</v>
      </c>
      <c r="O434" s="7"/>
      <c r="P434" s="7"/>
      <c r="Q434" s="7"/>
      <c r="R434" s="7"/>
      <c r="S434" s="7"/>
      <c r="T434" s="7"/>
      <c r="U434" s="7"/>
      <c r="W434" s="7"/>
      <c r="X434" s="7"/>
      <c r="Y434" s="7"/>
      <c r="Z434" s="7"/>
      <c r="AA434" s="7"/>
      <c r="AB434" s="7"/>
      <c r="AC434" s="7"/>
      <c r="AD434" s="7"/>
      <c r="AE434" s="7"/>
      <c r="AF434" s="7"/>
      <c r="AH434" s="7"/>
    </row>
    <row r="435" spans="1:104" x14ac:dyDescent="0.55000000000000004">
      <c r="B435" s="13">
        <v>34</v>
      </c>
      <c r="C435" s="7" t="s">
        <v>1640</v>
      </c>
      <c r="D435" s="7" t="s">
        <v>1864</v>
      </c>
      <c r="E435" s="7" t="s">
        <v>924</v>
      </c>
      <c r="F435" s="7" t="s">
        <v>951</v>
      </c>
      <c r="G435" s="7">
        <v>1</v>
      </c>
      <c r="H435" s="7">
        <v>0</v>
      </c>
      <c r="I435" s="7" t="s">
        <v>924</v>
      </c>
      <c r="J435" s="7" t="s">
        <v>17</v>
      </c>
      <c r="K435" s="7" t="s">
        <v>924</v>
      </c>
      <c r="L435" s="7" t="s">
        <v>924</v>
      </c>
      <c r="M435" s="7" t="s">
        <v>924</v>
      </c>
      <c r="N435" s="7" t="s">
        <v>924</v>
      </c>
      <c r="O435" s="7"/>
      <c r="P435" s="7"/>
      <c r="Q435" s="7"/>
      <c r="R435" s="7"/>
      <c r="S435" s="7"/>
      <c r="T435" s="7"/>
      <c r="U435" s="7"/>
      <c r="W435" s="7"/>
      <c r="X435" s="7"/>
      <c r="Y435" s="7"/>
      <c r="Z435" s="7"/>
      <c r="AA435" s="7"/>
      <c r="AB435" s="7"/>
      <c r="AC435" s="7"/>
      <c r="AD435" s="7"/>
      <c r="AE435" s="7"/>
      <c r="AF435" s="7"/>
      <c r="AH435" s="7"/>
    </row>
    <row r="436" spans="1:104" x14ac:dyDescent="0.55000000000000004">
      <c r="B436" s="15">
        <v>35</v>
      </c>
      <c r="C436" s="7" t="s">
        <v>1648</v>
      </c>
      <c r="D436" s="7" t="s">
        <v>1865</v>
      </c>
      <c r="E436" s="7" t="s">
        <v>924</v>
      </c>
      <c r="F436" s="7" t="s">
        <v>951</v>
      </c>
      <c r="G436" s="7">
        <v>1</v>
      </c>
      <c r="H436" s="7">
        <v>0</v>
      </c>
      <c r="I436" s="7" t="s">
        <v>924</v>
      </c>
      <c r="J436" s="7" t="s">
        <v>17</v>
      </c>
      <c r="K436" s="7" t="s">
        <v>924</v>
      </c>
      <c r="L436" s="7" t="s">
        <v>924</v>
      </c>
      <c r="M436" s="7" t="s">
        <v>924</v>
      </c>
      <c r="N436" s="7" t="s">
        <v>924</v>
      </c>
      <c r="O436" s="7"/>
      <c r="P436" s="7"/>
      <c r="Q436" s="7"/>
      <c r="R436" s="7"/>
      <c r="S436" s="7"/>
      <c r="T436" s="7"/>
      <c r="U436" s="7"/>
      <c r="W436" s="7"/>
      <c r="X436" s="7"/>
      <c r="Y436" s="7"/>
      <c r="Z436" s="7"/>
      <c r="AA436" s="7"/>
      <c r="AB436" s="7"/>
      <c r="AC436" s="7"/>
      <c r="AD436" s="7"/>
      <c r="AE436" s="7"/>
      <c r="AF436" s="7"/>
      <c r="AH436" s="7"/>
    </row>
    <row r="437" spans="1:104" x14ac:dyDescent="0.55000000000000004">
      <c r="B437" s="13">
        <v>36</v>
      </c>
      <c r="C437" s="7" t="s">
        <v>1656</v>
      </c>
      <c r="D437" s="7" t="s">
        <v>1866</v>
      </c>
      <c r="E437" s="7" t="s">
        <v>924</v>
      </c>
      <c r="F437" s="7" t="s">
        <v>951</v>
      </c>
      <c r="G437" s="7">
        <v>1</v>
      </c>
      <c r="H437" s="7">
        <v>0</v>
      </c>
      <c r="I437" s="7" t="s">
        <v>924</v>
      </c>
      <c r="J437" s="7" t="s">
        <v>17</v>
      </c>
      <c r="K437" s="7" t="s">
        <v>924</v>
      </c>
      <c r="L437" s="7" t="s">
        <v>924</v>
      </c>
      <c r="M437" s="7" t="s">
        <v>924</v>
      </c>
      <c r="N437" s="7" t="s">
        <v>924</v>
      </c>
      <c r="O437" s="7"/>
      <c r="P437" s="7"/>
      <c r="Q437" s="7"/>
      <c r="R437" s="7"/>
      <c r="S437" s="7"/>
      <c r="T437" s="7"/>
      <c r="U437" s="7"/>
      <c r="W437" s="7"/>
      <c r="X437" s="7"/>
      <c r="Y437" s="7"/>
      <c r="Z437" s="7"/>
      <c r="AA437" s="7"/>
      <c r="AB437" s="7"/>
      <c r="AC437" s="7"/>
      <c r="AD437" s="7"/>
      <c r="AE437" s="7"/>
      <c r="AF437" s="7"/>
      <c r="AH437" s="7"/>
    </row>
    <row r="438" spans="1:104" x14ac:dyDescent="0.55000000000000004">
      <c r="B438" s="21"/>
      <c r="C438" s="6" t="s">
        <v>394</v>
      </c>
      <c r="D438" s="6"/>
      <c r="E438" s="6"/>
      <c r="F438" s="6"/>
      <c r="G438" s="6"/>
      <c r="H438" s="6"/>
      <c r="I438" s="6"/>
      <c r="J438" s="6"/>
      <c r="K438" s="6"/>
      <c r="L438" s="6"/>
      <c r="M438" s="95"/>
      <c r="N438" s="97"/>
      <c r="O438" s="11"/>
      <c r="P438" s="11"/>
      <c r="Q438" s="11"/>
      <c r="R438" s="11"/>
      <c r="S438" s="11"/>
      <c r="T438" s="11"/>
      <c r="U438" s="11"/>
      <c r="V438" s="11"/>
      <c r="W438" s="11"/>
      <c r="X438" s="11"/>
      <c r="Y438" s="11"/>
      <c r="Z438" s="11"/>
      <c r="AA438" s="11"/>
      <c r="AB438" s="11"/>
      <c r="AC438" s="11"/>
      <c r="AD438" s="11"/>
      <c r="AE438" s="11"/>
      <c r="AF438" s="11"/>
      <c r="AG438" s="11"/>
      <c r="AH438" s="11"/>
      <c r="AI438" s="11"/>
      <c r="AJ438" s="11"/>
      <c r="AK438" s="11"/>
      <c r="AL438" s="11"/>
      <c r="AM438" s="11"/>
      <c r="AN438" s="11"/>
      <c r="AO438" s="11"/>
      <c r="AP438" s="11"/>
      <c r="AQ438" s="11"/>
      <c r="AR438" s="11"/>
      <c r="AS438" s="11"/>
      <c r="AT438" s="11"/>
      <c r="AU438" s="11"/>
      <c r="AV438" s="11"/>
      <c r="AW438" s="11"/>
      <c r="AX438" s="11"/>
      <c r="AY438" s="11"/>
      <c r="AZ438" s="11"/>
      <c r="BA438" s="11"/>
      <c r="BB438" s="11"/>
      <c r="BC438" s="11"/>
      <c r="BD438" s="11"/>
      <c r="BE438" s="11"/>
      <c r="BF438" s="11"/>
      <c r="BG438" s="11"/>
      <c r="BH438" s="11"/>
      <c r="BI438" s="11"/>
      <c r="BJ438" s="11"/>
      <c r="BK438" s="11"/>
      <c r="BL438" s="11"/>
      <c r="BM438" s="11"/>
      <c r="BN438" s="11"/>
      <c r="BO438" s="11"/>
      <c r="BP438" s="11"/>
      <c r="BQ438" s="11"/>
      <c r="BR438" s="11"/>
      <c r="BS438" s="11"/>
      <c r="BT438" s="11"/>
      <c r="BU438" s="11"/>
      <c r="BV438" s="11"/>
      <c r="BW438" s="11"/>
      <c r="BX438" s="11"/>
      <c r="BY438" s="11"/>
      <c r="BZ438" s="11"/>
      <c r="CA438" s="11"/>
      <c r="CB438" s="11"/>
      <c r="CC438" s="11"/>
      <c r="CD438" s="11"/>
      <c r="CE438" s="11"/>
      <c r="CF438" s="11"/>
      <c r="CG438" s="11"/>
      <c r="CH438" s="11"/>
      <c r="CI438" s="11"/>
      <c r="CJ438" s="11"/>
      <c r="CK438" s="11"/>
      <c r="CL438" s="11"/>
      <c r="CM438" s="11"/>
      <c r="CN438" s="11"/>
      <c r="CO438" s="11"/>
      <c r="CP438" s="11"/>
      <c r="CQ438" s="11"/>
      <c r="CR438" s="11"/>
      <c r="CS438" s="11"/>
      <c r="CT438" s="11"/>
      <c r="CU438" s="11"/>
      <c r="CV438" s="11"/>
      <c r="CW438" s="11"/>
      <c r="CX438" s="11"/>
      <c r="CY438" s="11"/>
      <c r="CZ438" s="11"/>
    </row>
    <row r="439" spans="1:104" x14ac:dyDescent="0.55000000000000004">
      <c r="B439" s="74" t="s">
        <v>1595</v>
      </c>
      <c r="C439" s="6" t="s">
        <v>456</v>
      </c>
      <c r="D439" s="6" t="s">
        <v>114</v>
      </c>
      <c r="E439" s="6" t="s">
        <v>110</v>
      </c>
      <c r="F439" s="6" t="s">
        <v>111</v>
      </c>
      <c r="G439" s="6" t="s">
        <v>113</v>
      </c>
      <c r="H439" s="6"/>
      <c r="I439" s="6"/>
      <c r="J439" s="6"/>
      <c r="K439" s="6"/>
      <c r="L439" s="6"/>
      <c r="M439" s="93"/>
      <c r="N439" s="11"/>
      <c r="O439" s="11"/>
      <c r="P439" s="11"/>
      <c r="Q439" s="11"/>
      <c r="R439" s="11"/>
      <c r="S439" s="11"/>
      <c r="T439" s="11"/>
      <c r="U439" s="11"/>
      <c r="V439" s="11"/>
      <c r="W439" s="11"/>
      <c r="X439" s="11"/>
      <c r="Y439" s="11"/>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c r="BC439" s="11"/>
      <c r="BD439" s="11"/>
      <c r="BE439" s="11"/>
      <c r="BF439" s="11"/>
      <c r="BG439" s="11"/>
      <c r="BH439" s="11"/>
      <c r="BI439" s="11"/>
      <c r="BJ439" s="11"/>
      <c r="BK439" s="11"/>
      <c r="BL439" s="11"/>
      <c r="BM439" s="11"/>
      <c r="BN439" s="11"/>
      <c r="BO439" s="11"/>
      <c r="BP439" s="11"/>
      <c r="BQ439" s="11"/>
      <c r="BR439" s="11"/>
      <c r="BS439" s="11"/>
      <c r="BT439" s="11"/>
      <c r="BU439" s="11"/>
      <c r="BV439" s="11"/>
      <c r="BW439" s="11"/>
      <c r="BX439" s="11"/>
      <c r="BY439" s="11"/>
      <c r="BZ439" s="11"/>
      <c r="CA439" s="11"/>
      <c r="CB439" s="11"/>
      <c r="CC439" s="11"/>
      <c r="CD439" s="11"/>
      <c r="CE439" s="11"/>
      <c r="CF439" s="11"/>
      <c r="CG439" s="11"/>
      <c r="CH439" s="11"/>
      <c r="CI439" s="11"/>
      <c r="CJ439" s="11"/>
      <c r="CK439" s="11"/>
      <c r="CL439" s="11"/>
      <c r="CM439" s="11"/>
      <c r="CN439" s="11"/>
      <c r="CO439" s="11"/>
      <c r="CP439" s="11"/>
      <c r="CQ439" s="11"/>
      <c r="CR439" s="11"/>
      <c r="CS439" s="11"/>
      <c r="CT439" s="11"/>
      <c r="CU439" s="11"/>
      <c r="CV439" s="11"/>
      <c r="CW439" s="11"/>
      <c r="CX439" s="11"/>
      <c r="CY439" s="11"/>
      <c r="CZ439" s="11"/>
    </row>
    <row r="440" spans="1:104" x14ac:dyDescent="0.55000000000000004">
      <c r="A440" s="30">
        <v>1</v>
      </c>
      <c r="B440" s="13"/>
      <c r="C440" s="7" t="s">
        <v>989</v>
      </c>
      <c r="D440" s="7" t="s">
        <v>1118</v>
      </c>
      <c r="E440" s="7" t="s">
        <v>1142</v>
      </c>
      <c r="F440" s="7">
        <v>1</v>
      </c>
      <c r="G440" s="7" t="s">
        <v>924</v>
      </c>
      <c r="H440" s="6"/>
      <c r="I440" s="6"/>
      <c r="J440" s="6"/>
      <c r="K440" s="6"/>
      <c r="L440" s="6"/>
      <c r="M440" s="93"/>
      <c r="N440" s="11"/>
      <c r="O440" s="11"/>
      <c r="P440" s="11"/>
      <c r="Q440" s="11"/>
      <c r="R440" s="11"/>
      <c r="S440" s="11"/>
      <c r="T440" s="11"/>
      <c r="U440" s="11"/>
      <c r="V440" s="11"/>
      <c r="W440" s="11"/>
      <c r="X440" s="11"/>
      <c r="Y440" s="11"/>
      <c r="Z440" s="11"/>
      <c r="AA440" s="11"/>
      <c r="AB440" s="11"/>
      <c r="AC440" s="11"/>
      <c r="AD440" s="11"/>
      <c r="AE440" s="11"/>
      <c r="AF440" s="11"/>
      <c r="AG440" s="11"/>
      <c r="AH440" s="11"/>
      <c r="AI440" s="11"/>
      <c r="AJ440" s="11"/>
      <c r="AK440" s="11"/>
      <c r="AL440" s="11"/>
      <c r="AM440" s="11"/>
      <c r="AN440" s="11"/>
      <c r="AO440" s="11"/>
      <c r="AP440" s="11"/>
      <c r="AQ440" s="11"/>
      <c r="AR440" s="11"/>
      <c r="AS440" s="11"/>
      <c r="AT440" s="11"/>
      <c r="AU440" s="11"/>
      <c r="AV440" s="11"/>
      <c r="AW440" s="11"/>
      <c r="AX440" s="11"/>
      <c r="AY440" s="11"/>
      <c r="AZ440" s="11"/>
      <c r="BA440" s="11"/>
      <c r="BB440" s="11"/>
      <c r="BC440" s="11"/>
      <c r="BD440" s="11"/>
      <c r="BE440" s="11"/>
      <c r="BF440" s="11"/>
      <c r="BG440" s="11"/>
      <c r="BH440" s="11"/>
      <c r="BI440" s="11"/>
      <c r="BJ440" s="11"/>
      <c r="BK440" s="11"/>
      <c r="BL440" s="11"/>
      <c r="BM440" s="11"/>
      <c r="BN440" s="11"/>
      <c r="BO440" s="11"/>
      <c r="BP440" s="11"/>
      <c r="BQ440" s="11"/>
      <c r="BR440" s="11"/>
      <c r="BS440" s="11"/>
      <c r="BT440" s="11"/>
      <c r="BU440" s="11"/>
      <c r="BV440" s="11"/>
      <c r="BW440" s="11"/>
      <c r="BX440" s="11"/>
      <c r="BY440" s="11"/>
      <c r="BZ440" s="11"/>
      <c r="CA440" s="11"/>
      <c r="CB440" s="11"/>
      <c r="CC440" s="11"/>
      <c r="CD440" s="11"/>
      <c r="CE440" s="11"/>
      <c r="CF440" s="11"/>
      <c r="CG440" s="11"/>
      <c r="CH440" s="11"/>
      <c r="CI440" s="11"/>
      <c r="CJ440" s="11"/>
      <c r="CK440" s="11"/>
      <c r="CL440" s="11"/>
      <c r="CM440" s="11"/>
      <c r="CN440" s="11"/>
      <c r="CO440" s="11"/>
      <c r="CP440" s="11"/>
      <c r="CQ440" s="11"/>
      <c r="CR440" s="11"/>
      <c r="CS440" s="11"/>
      <c r="CT440" s="11"/>
      <c r="CU440" s="11"/>
      <c r="CV440" s="11"/>
      <c r="CW440" s="11"/>
      <c r="CX440" s="11"/>
      <c r="CY440" s="11"/>
      <c r="CZ440" s="11"/>
    </row>
    <row r="441" spans="1:104" x14ac:dyDescent="0.55000000000000004">
      <c r="A441" s="30">
        <v>2</v>
      </c>
      <c r="B441" s="13"/>
      <c r="C441" s="7" t="s">
        <v>991</v>
      </c>
      <c r="D441" s="7" t="s">
        <v>1119</v>
      </c>
      <c r="E441" s="7" t="s">
        <v>1142</v>
      </c>
      <c r="F441" s="7">
        <v>1</v>
      </c>
      <c r="G441" s="7" t="s">
        <v>924</v>
      </c>
      <c r="H441" s="6"/>
      <c r="I441" s="6"/>
      <c r="J441" s="6"/>
      <c r="K441" s="6"/>
      <c r="L441" s="6"/>
      <c r="M441" s="93"/>
      <c r="N441" s="11"/>
      <c r="O441" s="11"/>
      <c r="P441" s="11"/>
      <c r="Q441" s="11"/>
      <c r="R441" s="11"/>
      <c r="S441" s="11"/>
      <c r="T441" s="11"/>
      <c r="U441" s="11"/>
      <c r="V441" s="11"/>
      <c r="W441" s="11"/>
      <c r="X441" s="11"/>
      <c r="Y441" s="11"/>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c r="BC441" s="11"/>
      <c r="BD441" s="11"/>
      <c r="BE441" s="11"/>
      <c r="BF441" s="11"/>
      <c r="BG441" s="11"/>
      <c r="BH441" s="11"/>
      <c r="BI441" s="11"/>
      <c r="BJ441" s="11"/>
      <c r="BK441" s="11"/>
      <c r="BL441" s="11"/>
      <c r="BM441" s="11"/>
      <c r="BN441" s="11"/>
      <c r="BO441" s="11"/>
      <c r="BP441" s="11"/>
      <c r="BQ441" s="11"/>
      <c r="BR441" s="11"/>
      <c r="BS441" s="11"/>
      <c r="BT441" s="11"/>
      <c r="BU441" s="11"/>
      <c r="BV441" s="11"/>
      <c r="BW441" s="11"/>
      <c r="BX441" s="11"/>
      <c r="BY441" s="11"/>
      <c r="BZ441" s="11"/>
      <c r="CA441" s="11"/>
      <c r="CB441" s="11"/>
      <c r="CC441" s="11"/>
      <c r="CD441" s="11"/>
      <c r="CE441" s="11"/>
      <c r="CF441" s="11"/>
      <c r="CG441" s="11"/>
      <c r="CH441" s="11"/>
      <c r="CI441" s="11"/>
      <c r="CJ441" s="11"/>
      <c r="CK441" s="11"/>
      <c r="CL441" s="11"/>
      <c r="CM441" s="11"/>
      <c r="CN441" s="11"/>
      <c r="CO441" s="11"/>
      <c r="CP441" s="11"/>
      <c r="CQ441" s="11"/>
      <c r="CR441" s="11"/>
      <c r="CS441" s="11"/>
      <c r="CT441" s="11"/>
      <c r="CU441" s="11"/>
      <c r="CV441" s="11"/>
      <c r="CW441" s="11"/>
      <c r="CX441" s="11"/>
      <c r="CY441" s="11"/>
      <c r="CZ441" s="11"/>
    </row>
    <row r="442" spans="1:104" x14ac:dyDescent="0.55000000000000004">
      <c r="A442" s="30">
        <v>3</v>
      </c>
      <c r="B442" s="13"/>
      <c r="C442" s="7" t="s">
        <v>993</v>
      </c>
      <c r="D442" s="7" t="s">
        <v>1120</v>
      </c>
      <c r="E442" s="7" t="s">
        <v>1142</v>
      </c>
      <c r="F442" s="7">
        <v>1</v>
      </c>
      <c r="G442" s="7" t="s">
        <v>924</v>
      </c>
      <c r="H442" s="6"/>
      <c r="I442" s="6"/>
      <c r="J442" s="6"/>
      <c r="K442" s="6"/>
      <c r="L442" s="6"/>
      <c r="M442" s="93"/>
      <c r="N442" s="11"/>
      <c r="O442" s="11"/>
      <c r="P442" s="11"/>
      <c r="Q442" s="11"/>
      <c r="R442" s="11"/>
      <c r="S442" s="11"/>
      <c r="T442" s="11"/>
      <c r="U442" s="11"/>
      <c r="V442" s="11"/>
      <c r="W442" s="11"/>
      <c r="X442" s="11"/>
      <c r="Y442" s="11"/>
      <c r="Z442" s="11"/>
      <c r="AA442" s="11"/>
      <c r="AB442" s="11"/>
      <c r="AC442" s="11"/>
      <c r="AD442" s="11"/>
      <c r="AE442" s="11"/>
      <c r="AF442" s="11"/>
      <c r="AG442" s="11"/>
      <c r="AH442" s="11"/>
      <c r="AI442" s="11"/>
      <c r="AJ442" s="11"/>
      <c r="AK442" s="11"/>
      <c r="AL442" s="11"/>
      <c r="AM442" s="11"/>
      <c r="AN442" s="11"/>
      <c r="AO442" s="11"/>
      <c r="AP442" s="11"/>
      <c r="AQ442" s="11"/>
      <c r="AR442" s="11"/>
      <c r="AS442" s="11"/>
      <c r="AT442" s="11"/>
      <c r="AU442" s="11"/>
      <c r="AV442" s="11"/>
      <c r="AW442" s="11"/>
      <c r="AX442" s="11"/>
      <c r="AY442" s="11"/>
      <c r="AZ442" s="11"/>
      <c r="BA442" s="11"/>
      <c r="BB442" s="11"/>
      <c r="BC442" s="11"/>
      <c r="BD442" s="11"/>
      <c r="BE442" s="11"/>
      <c r="BF442" s="11"/>
      <c r="BG442" s="11"/>
      <c r="BH442" s="11"/>
      <c r="BI442" s="11"/>
      <c r="BJ442" s="11"/>
      <c r="BK442" s="11"/>
      <c r="BL442" s="11"/>
      <c r="BM442" s="11"/>
      <c r="BN442" s="11"/>
      <c r="BO442" s="11"/>
      <c r="BP442" s="11"/>
      <c r="BQ442" s="11"/>
      <c r="BR442" s="11"/>
      <c r="BS442" s="11"/>
      <c r="BT442" s="11"/>
      <c r="BU442" s="11"/>
      <c r="BV442" s="11"/>
      <c r="BW442" s="11"/>
      <c r="BX442" s="11"/>
      <c r="BY442" s="11"/>
      <c r="BZ442" s="11"/>
      <c r="CA442" s="11"/>
      <c r="CB442" s="11"/>
      <c r="CC442" s="11"/>
      <c r="CD442" s="11"/>
      <c r="CE442" s="11"/>
      <c r="CF442" s="11"/>
      <c r="CG442" s="11"/>
      <c r="CH442" s="11"/>
      <c r="CI442" s="11"/>
      <c r="CJ442" s="11"/>
      <c r="CK442" s="11"/>
      <c r="CL442" s="11"/>
      <c r="CM442" s="11"/>
      <c r="CN442" s="11"/>
      <c r="CO442" s="11"/>
      <c r="CP442" s="11"/>
      <c r="CQ442" s="11"/>
      <c r="CR442" s="11"/>
      <c r="CS442" s="11"/>
      <c r="CT442" s="11"/>
      <c r="CU442" s="11"/>
      <c r="CV442" s="11"/>
      <c r="CW442" s="11"/>
      <c r="CX442" s="11"/>
      <c r="CY442" s="11"/>
      <c r="CZ442" s="11"/>
    </row>
    <row r="443" spans="1:104" x14ac:dyDescent="0.55000000000000004">
      <c r="A443" s="30">
        <v>4</v>
      </c>
      <c r="B443" s="13"/>
      <c r="C443" s="7" t="s">
        <v>995</v>
      </c>
      <c r="D443" s="7" t="s">
        <v>1121</v>
      </c>
      <c r="E443" s="7" t="s">
        <v>1460</v>
      </c>
      <c r="F443" s="7">
        <v>1</v>
      </c>
      <c r="G443" s="7" t="s">
        <v>924</v>
      </c>
      <c r="H443" s="6"/>
      <c r="I443" s="6"/>
      <c r="J443" s="6"/>
      <c r="K443" s="6"/>
      <c r="L443" s="6"/>
      <c r="M443" s="93"/>
      <c r="N443" s="11"/>
      <c r="O443" s="11"/>
      <c r="P443" s="11"/>
      <c r="Q443" s="11"/>
      <c r="R443" s="11"/>
      <c r="S443" s="11"/>
      <c r="T443" s="11"/>
      <c r="U443" s="11"/>
      <c r="V443" s="11"/>
      <c r="W443" s="11"/>
      <c r="X443" s="11"/>
      <c r="Y443" s="11"/>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c r="BC443" s="11"/>
      <c r="BD443" s="11"/>
      <c r="BE443" s="11"/>
      <c r="BF443" s="11"/>
      <c r="BG443" s="11"/>
      <c r="BH443" s="11"/>
      <c r="BI443" s="11"/>
      <c r="BJ443" s="11"/>
      <c r="BK443" s="11"/>
      <c r="BL443" s="11"/>
      <c r="BM443" s="11"/>
      <c r="BN443" s="11"/>
      <c r="BO443" s="11"/>
      <c r="BP443" s="11"/>
      <c r="BQ443" s="11"/>
      <c r="BR443" s="11"/>
      <c r="BS443" s="11"/>
      <c r="BT443" s="11"/>
      <c r="BU443" s="11"/>
      <c r="BV443" s="11"/>
      <c r="BW443" s="11"/>
      <c r="BX443" s="11"/>
      <c r="BY443" s="11"/>
      <c r="BZ443" s="11"/>
      <c r="CA443" s="11"/>
      <c r="CB443" s="11"/>
      <c r="CC443" s="11"/>
      <c r="CD443" s="11"/>
      <c r="CE443" s="11"/>
      <c r="CF443" s="11"/>
      <c r="CG443" s="11"/>
      <c r="CH443" s="11"/>
      <c r="CI443" s="11"/>
      <c r="CJ443" s="11"/>
      <c r="CK443" s="11"/>
      <c r="CL443" s="11"/>
      <c r="CM443" s="11"/>
      <c r="CN443" s="11"/>
      <c r="CO443" s="11"/>
      <c r="CP443" s="11"/>
      <c r="CQ443" s="11"/>
      <c r="CR443" s="11"/>
      <c r="CS443" s="11"/>
      <c r="CT443" s="11"/>
      <c r="CU443" s="11"/>
      <c r="CV443" s="11"/>
      <c r="CW443" s="11"/>
      <c r="CX443" s="11"/>
      <c r="CY443" s="11"/>
      <c r="CZ443" s="11"/>
    </row>
    <row r="444" spans="1:104" x14ac:dyDescent="0.55000000000000004">
      <c r="A444" s="30">
        <v>5</v>
      </c>
      <c r="B444" s="13"/>
      <c r="C444" s="7" t="s">
        <v>997</v>
      </c>
      <c r="D444" s="7" t="s">
        <v>1122</v>
      </c>
      <c r="E444" s="7" t="s">
        <v>1460</v>
      </c>
      <c r="F444" s="7">
        <v>1</v>
      </c>
      <c r="G444" s="7" t="s">
        <v>924</v>
      </c>
      <c r="H444" s="6"/>
      <c r="I444" s="6"/>
      <c r="J444" s="6"/>
      <c r="K444" s="6"/>
      <c r="L444" s="6"/>
      <c r="M444" s="93"/>
      <c r="N444" s="11"/>
      <c r="O444" s="11"/>
      <c r="P444" s="11"/>
      <c r="Q444" s="11"/>
      <c r="R444" s="11"/>
      <c r="S444" s="11"/>
      <c r="T444" s="11"/>
      <c r="U444" s="11"/>
      <c r="V444" s="11"/>
      <c r="W444" s="11"/>
      <c r="X444" s="11"/>
      <c r="Y444" s="11"/>
      <c r="Z444" s="11"/>
      <c r="AA444" s="11"/>
      <c r="AB444" s="11"/>
      <c r="AC444" s="11"/>
      <c r="AD444" s="11"/>
      <c r="AE444" s="11"/>
      <c r="AF444" s="11"/>
      <c r="AG444" s="11"/>
      <c r="AH444" s="11"/>
      <c r="AI444" s="11"/>
      <c r="AJ444" s="11"/>
      <c r="AK444" s="11"/>
      <c r="AL444" s="11"/>
      <c r="AM444" s="11"/>
      <c r="AN444" s="11"/>
      <c r="AO444" s="11"/>
      <c r="AP444" s="11"/>
      <c r="AQ444" s="11"/>
      <c r="AR444" s="11"/>
      <c r="AS444" s="11"/>
      <c r="AT444" s="11"/>
      <c r="AU444" s="11"/>
      <c r="AV444" s="11"/>
      <c r="AW444" s="11"/>
      <c r="AX444" s="11"/>
      <c r="AY444" s="11"/>
      <c r="AZ444" s="11"/>
      <c r="BA444" s="11"/>
      <c r="BB444" s="11"/>
      <c r="BC444" s="11"/>
      <c r="BD444" s="11"/>
      <c r="BE444" s="11"/>
      <c r="BF444" s="11"/>
      <c r="BG444" s="11"/>
      <c r="BH444" s="11"/>
      <c r="BI444" s="11"/>
      <c r="BJ444" s="11"/>
      <c r="BK444" s="11"/>
      <c r="BL444" s="11"/>
      <c r="BM444" s="11"/>
      <c r="BN444" s="11"/>
      <c r="BO444" s="11"/>
      <c r="BP444" s="11"/>
      <c r="BQ444" s="11"/>
      <c r="BR444" s="11"/>
      <c r="BS444" s="11"/>
      <c r="BT444" s="11"/>
      <c r="BU444" s="11"/>
      <c r="BV444" s="11"/>
      <c r="BW444" s="11"/>
      <c r="BX444" s="11"/>
      <c r="BY444" s="11"/>
      <c r="BZ444" s="11"/>
      <c r="CA444" s="11"/>
      <c r="CB444" s="11"/>
      <c r="CC444" s="11"/>
      <c r="CD444" s="11"/>
      <c r="CE444" s="11"/>
      <c r="CF444" s="11"/>
      <c r="CG444" s="11"/>
      <c r="CH444" s="11"/>
      <c r="CI444" s="11"/>
      <c r="CJ444" s="11"/>
      <c r="CK444" s="11"/>
      <c r="CL444" s="11"/>
      <c r="CM444" s="11"/>
      <c r="CN444" s="11"/>
      <c r="CO444" s="11"/>
      <c r="CP444" s="11"/>
      <c r="CQ444" s="11"/>
      <c r="CR444" s="11"/>
      <c r="CS444" s="11"/>
      <c r="CT444" s="11"/>
      <c r="CU444" s="11"/>
      <c r="CV444" s="11"/>
      <c r="CW444" s="11"/>
      <c r="CX444" s="11"/>
      <c r="CY444" s="11"/>
      <c r="CZ444" s="11"/>
    </row>
    <row r="445" spans="1:104" x14ac:dyDescent="0.55000000000000004">
      <c r="A445" s="30">
        <v>6</v>
      </c>
      <c r="B445" s="13"/>
      <c r="C445" s="7" t="s">
        <v>999</v>
      </c>
      <c r="D445" s="7" t="s">
        <v>1453</v>
      </c>
      <c r="E445" s="7" t="s">
        <v>1460</v>
      </c>
      <c r="F445" s="7">
        <v>1</v>
      </c>
      <c r="G445" s="7" t="s">
        <v>924</v>
      </c>
      <c r="H445" s="6"/>
      <c r="I445" s="6"/>
      <c r="J445" s="6"/>
      <c r="K445" s="6"/>
      <c r="L445" s="6"/>
      <c r="M445" s="93"/>
      <c r="N445" s="11"/>
      <c r="O445" s="11"/>
      <c r="P445" s="11"/>
      <c r="Q445" s="11"/>
      <c r="R445" s="11"/>
      <c r="S445" s="11"/>
      <c r="T445" s="11"/>
      <c r="U445" s="11"/>
      <c r="V445" s="11"/>
      <c r="W445" s="11"/>
      <c r="X445" s="11"/>
      <c r="Y445" s="11"/>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c r="BC445" s="11"/>
      <c r="BD445" s="11"/>
      <c r="BE445" s="11"/>
      <c r="BF445" s="11"/>
      <c r="BG445" s="11"/>
      <c r="BH445" s="11"/>
      <c r="BI445" s="11"/>
      <c r="BJ445" s="11"/>
      <c r="BK445" s="11"/>
      <c r="BL445" s="11"/>
      <c r="BM445" s="11"/>
      <c r="BN445" s="11"/>
      <c r="BO445" s="11"/>
      <c r="BP445" s="11"/>
      <c r="BQ445" s="11"/>
      <c r="BR445" s="11"/>
      <c r="BS445" s="11"/>
      <c r="BT445" s="11"/>
      <c r="BU445" s="11"/>
      <c r="BV445" s="11"/>
      <c r="BW445" s="11"/>
      <c r="BX445" s="11"/>
      <c r="BY445" s="11"/>
      <c r="BZ445" s="11"/>
      <c r="CA445" s="11"/>
      <c r="CB445" s="11"/>
      <c r="CC445" s="11"/>
      <c r="CD445" s="11"/>
      <c r="CE445" s="11"/>
      <c r="CF445" s="11"/>
      <c r="CG445" s="11"/>
      <c r="CH445" s="11"/>
      <c r="CI445" s="11"/>
      <c r="CJ445" s="11"/>
      <c r="CK445" s="11"/>
      <c r="CL445" s="11"/>
      <c r="CM445" s="11"/>
      <c r="CN445" s="11"/>
      <c r="CO445" s="11"/>
      <c r="CP445" s="11"/>
      <c r="CQ445" s="11"/>
      <c r="CR445" s="11"/>
      <c r="CS445" s="11"/>
      <c r="CT445" s="11"/>
      <c r="CU445" s="11"/>
      <c r="CV445" s="11"/>
      <c r="CW445" s="11"/>
      <c r="CX445" s="11"/>
      <c r="CY445" s="11"/>
      <c r="CZ445" s="11"/>
    </row>
    <row r="446" spans="1:104" x14ac:dyDescent="0.55000000000000004">
      <c r="A446" s="30">
        <v>7</v>
      </c>
      <c r="B446" s="13"/>
      <c r="C446" s="7" t="s">
        <v>1000</v>
      </c>
      <c r="D446" s="7" t="s">
        <v>1452</v>
      </c>
      <c r="E446" s="7" t="s">
        <v>1460</v>
      </c>
      <c r="F446" s="7">
        <v>1</v>
      </c>
      <c r="G446" s="7" t="s">
        <v>924</v>
      </c>
      <c r="H446" s="6"/>
      <c r="I446" s="6"/>
      <c r="J446" s="6"/>
      <c r="K446" s="6"/>
      <c r="L446" s="6"/>
      <c r="M446" s="93"/>
      <c r="N446" s="11"/>
      <c r="O446" s="11"/>
      <c r="P446" s="11"/>
      <c r="Q446" s="11"/>
      <c r="R446" s="11"/>
      <c r="S446" s="11"/>
      <c r="T446" s="11"/>
      <c r="U446" s="11"/>
      <c r="V446" s="11"/>
      <c r="W446" s="11"/>
      <c r="X446" s="11"/>
      <c r="Y446" s="11"/>
      <c r="Z446" s="11"/>
      <c r="AA446" s="11"/>
      <c r="AB446" s="11"/>
      <c r="AC446" s="11"/>
      <c r="AD446" s="11"/>
      <c r="AE446" s="11"/>
      <c r="AF446" s="11"/>
      <c r="AG446" s="11"/>
      <c r="AH446" s="11"/>
      <c r="AI446" s="11"/>
      <c r="AJ446" s="11"/>
      <c r="AK446" s="11"/>
      <c r="AL446" s="11"/>
      <c r="AM446" s="11"/>
      <c r="AN446" s="11"/>
      <c r="AO446" s="11"/>
      <c r="AP446" s="11"/>
      <c r="AQ446" s="11"/>
      <c r="AR446" s="11"/>
      <c r="AS446" s="11"/>
      <c r="AT446" s="11"/>
      <c r="AU446" s="11"/>
      <c r="AV446" s="11"/>
      <c r="AW446" s="11"/>
      <c r="AX446" s="11"/>
      <c r="AY446" s="11"/>
      <c r="AZ446" s="11"/>
      <c r="BA446" s="11"/>
      <c r="BB446" s="11"/>
      <c r="BC446" s="11"/>
      <c r="BD446" s="11"/>
      <c r="BE446" s="11"/>
      <c r="BF446" s="11"/>
      <c r="BG446" s="11"/>
      <c r="BH446" s="11"/>
      <c r="BI446" s="11"/>
      <c r="BJ446" s="11"/>
      <c r="BK446" s="11"/>
      <c r="BL446" s="11"/>
      <c r="BM446" s="11"/>
      <c r="BN446" s="11"/>
      <c r="BO446" s="11"/>
      <c r="BP446" s="11"/>
      <c r="BQ446" s="11"/>
      <c r="BR446" s="11"/>
      <c r="BS446" s="11"/>
      <c r="BT446" s="11"/>
      <c r="BU446" s="11"/>
      <c r="BV446" s="11"/>
      <c r="BW446" s="11"/>
      <c r="BX446" s="11"/>
      <c r="BY446" s="11"/>
      <c r="BZ446" s="11"/>
      <c r="CA446" s="11"/>
      <c r="CB446" s="11"/>
      <c r="CC446" s="11"/>
      <c r="CD446" s="11"/>
      <c r="CE446" s="11"/>
      <c r="CF446" s="11"/>
      <c r="CG446" s="11"/>
      <c r="CH446" s="11"/>
      <c r="CI446" s="11"/>
      <c r="CJ446" s="11"/>
      <c r="CK446" s="11"/>
      <c r="CL446" s="11"/>
      <c r="CM446" s="11"/>
      <c r="CN446" s="11"/>
      <c r="CO446" s="11"/>
      <c r="CP446" s="11"/>
      <c r="CQ446" s="11"/>
      <c r="CR446" s="11"/>
      <c r="CS446" s="11"/>
      <c r="CT446" s="11"/>
      <c r="CU446" s="11"/>
      <c r="CV446" s="11"/>
      <c r="CW446" s="11"/>
      <c r="CX446" s="11"/>
      <c r="CY446" s="11"/>
      <c r="CZ446" s="11"/>
    </row>
    <row r="447" spans="1:104" x14ac:dyDescent="0.55000000000000004">
      <c r="A447" s="30">
        <v>8</v>
      </c>
      <c r="B447" s="13"/>
      <c r="C447" s="7" t="s">
        <v>1001</v>
      </c>
      <c r="D447" s="7" t="s">
        <v>1451</v>
      </c>
      <c r="E447" s="7" t="s">
        <v>1454</v>
      </c>
      <c r="F447" s="7">
        <v>1</v>
      </c>
      <c r="G447" s="7" t="s">
        <v>924</v>
      </c>
      <c r="H447" s="6"/>
      <c r="I447" s="6"/>
      <c r="J447" s="6"/>
      <c r="K447" s="6"/>
      <c r="L447" s="6"/>
      <c r="M447" s="93"/>
      <c r="N447" s="11"/>
      <c r="O447" s="11"/>
      <c r="P447" s="11"/>
      <c r="Q447" s="11"/>
      <c r="R447" s="11"/>
      <c r="S447" s="11"/>
      <c r="T447" s="11"/>
      <c r="U447" s="11"/>
      <c r="V447" s="11"/>
      <c r="W447" s="11"/>
      <c r="X447" s="11"/>
      <c r="Y447" s="11"/>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c r="BC447" s="11"/>
      <c r="BD447" s="11"/>
      <c r="BE447" s="11"/>
      <c r="BF447" s="11"/>
      <c r="BG447" s="11"/>
      <c r="BH447" s="11"/>
      <c r="BI447" s="11"/>
      <c r="BJ447" s="11"/>
      <c r="BK447" s="11"/>
      <c r="BL447" s="11"/>
      <c r="BM447" s="11"/>
      <c r="BN447" s="11"/>
      <c r="BO447" s="11"/>
      <c r="BP447" s="11"/>
      <c r="BQ447" s="11"/>
      <c r="BR447" s="11"/>
      <c r="BS447" s="11"/>
      <c r="BT447" s="11"/>
      <c r="BU447" s="11"/>
      <c r="BV447" s="11"/>
      <c r="BW447" s="11"/>
      <c r="BX447" s="11"/>
      <c r="BY447" s="11"/>
      <c r="BZ447" s="11"/>
      <c r="CA447" s="11"/>
      <c r="CB447" s="11"/>
      <c r="CC447" s="11"/>
      <c r="CD447" s="11"/>
      <c r="CE447" s="11"/>
      <c r="CF447" s="11"/>
      <c r="CG447" s="11"/>
      <c r="CH447" s="11"/>
      <c r="CI447" s="11"/>
      <c r="CJ447" s="11"/>
      <c r="CK447" s="11"/>
      <c r="CL447" s="11"/>
      <c r="CM447" s="11"/>
      <c r="CN447" s="11"/>
      <c r="CO447" s="11"/>
      <c r="CP447" s="11"/>
      <c r="CQ447" s="11"/>
      <c r="CR447" s="11"/>
      <c r="CS447" s="11"/>
      <c r="CT447" s="11"/>
      <c r="CU447" s="11"/>
      <c r="CV447" s="11"/>
      <c r="CW447" s="11"/>
      <c r="CX447" s="11"/>
      <c r="CY447" s="11"/>
      <c r="CZ447" s="11"/>
    </row>
    <row r="448" spans="1:104" x14ac:dyDescent="0.55000000000000004">
      <c r="A448" s="30">
        <v>9</v>
      </c>
      <c r="B448" s="13" t="s">
        <v>1455</v>
      </c>
      <c r="C448" s="7" t="s">
        <v>1449</v>
      </c>
      <c r="D448" s="7" t="s">
        <v>1450</v>
      </c>
      <c r="E448" s="7" t="s">
        <v>1454</v>
      </c>
      <c r="F448" s="7">
        <v>1</v>
      </c>
      <c r="G448" s="7" t="s">
        <v>924</v>
      </c>
      <c r="H448" s="6"/>
      <c r="I448" s="6"/>
      <c r="J448" s="6"/>
      <c r="K448" s="6"/>
      <c r="L448" s="6"/>
      <c r="M448" s="93"/>
      <c r="N448" s="11"/>
      <c r="O448" s="11"/>
      <c r="P448" s="11"/>
      <c r="Q448" s="11"/>
      <c r="R448" s="11"/>
      <c r="S448" s="11"/>
      <c r="T448" s="11"/>
      <c r="U448" s="11"/>
      <c r="V448" s="11"/>
      <c r="W448" s="11"/>
      <c r="X448" s="11"/>
      <c r="Y448" s="11"/>
      <c r="Z448" s="11"/>
      <c r="AA448" s="11"/>
      <c r="AB448" s="11"/>
      <c r="AC448" s="11"/>
      <c r="AD448" s="11"/>
      <c r="AE448" s="11"/>
      <c r="AF448" s="11"/>
      <c r="AG448" s="11"/>
      <c r="AH448" s="11"/>
      <c r="AI448" s="11"/>
      <c r="AJ448" s="11"/>
      <c r="AK448" s="11"/>
      <c r="AL448" s="11"/>
      <c r="AM448" s="11"/>
      <c r="AN448" s="11"/>
      <c r="AO448" s="11"/>
      <c r="AP448" s="11"/>
      <c r="AQ448" s="11"/>
      <c r="AR448" s="11"/>
      <c r="AS448" s="11"/>
      <c r="AT448" s="11"/>
      <c r="AU448" s="11"/>
      <c r="AV448" s="11"/>
      <c r="AW448" s="11"/>
      <c r="AX448" s="11"/>
      <c r="AY448" s="11"/>
      <c r="AZ448" s="11"/>
      <c r="BA448" s="11"/>
      <c r="BB448" s="11"/>
      <c r="BC448" s="11"/>
      <c r="BD448" s="11"/>
      <c r="BE448" s="11"/>
      <c r="BF448" s="11"/>
      <c r="BG448" s="11"/>
      <c r="BH448" s="11"/>
      <c r="BI448" s="11"/>
      <c r="BJ448" s="11"/>
      <c r="BK448" s="11"/>
      <c r="BL448" s="11"/>
      <c r="BM448" s="11"/>
      <c r="BN448" s="11"/>
      <c r="BO448" s="11"/>
      <c r="BP448" s="11"/>
      <c r="BQ448" s="11"/>
      <c r="BR448" s="11"/>
      <c r="BS448" s="11"/>
      <c r="BT448" s="11"/>
      <c r="BU448" s="11"/>
      <c r="BV448" s="11"/>
      <c r="BW448" s="11"/>
      <c r="BX448" s="11"/>
      <c r="BY448" s="11"/>
      <c r="BZ448" s="11"/>
      <c r="CA448" s="11"/>
      <c r="CB448" s="11"/>
      <c r="CC448" s="11"/>
      <c r="CD448" s="11"/>
      <c r="CE448" s="11"/>
      <c r="CF448" s="11"/>
      <c r="CG448" s="11"/>
      <c r="CH448" s="11"/>
      <c r="CI448" s="11"/>
      <c r="CJ448" s="11"/>
      <c r="CK448" s="11"/>
      <c r="CL448" s="11"/>
      <c r="CM448" s="11"/>
      <c r="CN448" s="11"/>
      <c r="CO448" s="11"/>
      <c r="CP448" s="11"/>
      <c r="CQ448" s="11"/>
      <c r="CR448" s="11"/>
      <c r="CS448" s="11"/>
      <c r="CT448" s="11"/>
      <c r="CU448" s="11"/>
      <c r="CV448" s="11"/>
      <c r="CW448" s="11"/>
      <c r="CX448" s="11"/>
      <c r="CY448" s="11"/>
      <c r="CZ448" s="11"/>
    </row>
    <row r="449" spans="1:104" x14ac:dyDescent="0.55000000000000004">
      <c r="A449" s="30">
        <v>10</v>
      </c>
      <c r="B449" s="13"/>
      <c r="C449" s="7" t="s">
        <v>1002</v>
      </c>
      <c r="D449" s="7" t="s">
        <v>1123</v>
      </c>
      <c r="E449" s="7" t="s">
        <v>1454</v>
      </c>
      <c r="F449" s="7">
        <v>1</v>
      </c>
      <c r="G449" s="7" t="s">
        <v>924</v>
      </c>
      <c r="H449" s="6"/>
      <c r="I449" s="6"/>
      <c r="J449" s="6"/>
      <c r="K449" s="6"/>
      <c r="L449" s="6"/>
      <c r="M449" s="93"/>
      <c r="N449" s="11"/>
      <c r="O449" s="11"/>
      <c r="P449" s="11"/>
      <c r="Q449" s="11"/>
      <c r="R449" s="11"/>
      <c r="S449" s="11"/>
      <c r="T449" s="11"/>
      <c r="U449" s="11"/>
      <c r="V449" s="11"/>
      <c r="W449" s="11"/>
      <c r="X449" s="11"/>
      <c r="Y449" s="11"/>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c r="BC449" s="11"/>
      <c r="BD449" s="11"/>
      <c r="BE449" s="11"/>
      <c r="BF449" s="11"/>
      <c r="BG449" s="11"/>
      <c r="BH449" s="11"/>
      <c r="BI449" s="11"/>
      <c r="BJ449" s="11"/>
      <c r="BK449" s="11"/>
      <c r="BL449" s="11"/>
      <c r="BM449" s="11"/>
      <c r="BN449" s="11"/>
      <c r="BO449" s="11"/>
      <c r="BP449" s="11"/>
      <c r="BQ449" s="11"/>
      <c r="BR449" s="11"/>
      <c r="BS449" s="11"/>
      <c r="BT449" s="11"/>
      <c r="BU449" s="11"/>
      <c r="BV449" s="11"/>
      <c r="BW449" s="11"/>
      <c r="BX449" s="11"/>
      <c r="BY449" s="11"/>
      <c r="BZ449" s="11"/>
      <c r="CA449" s="11"/>
      <c r="CB449" s="11"/>
      <c r="CC449" s="11"/>
      <c r="CD449" s="11"/>
      <c r="CE449" s="11"/>
      <c r="CF449" s="11"/>
      <c r="CG449" s="11"/>
      <c r="CH449" s="11"/>
      <c r="CI449" s="11"/>
      <c r="CJ449" s="11"/>
      <c r="CK449" s="11"/>
      <c r="CL449" s="11"/>
      <c r="CM449" s="11"/>
      <c r="CN449" s="11"/>
      <c r="CO449" s="11"/>
      <c r="CP449" s="11"/>
      <c r="CQ449" s="11"/>
      <c r="CR449" s="11"/>
      <c r="CS449" s="11"/>
      <c r="CT449" s="11"/>
      <c r="CU449" s="11"/>
      <c r="CV449" s="11"/>
      <c r="CW449" s="11"/>
      <c r="CX449" s="11"/>
      <c r="CY449" s="11"/>
      <c r="CZ449" s="11"/>
    </row>
    <row r="450" spans="1:104" x14ac:dyDescent="0.55000000000000004">
      <c r="A450" s="30">
        <v>11</v>
      </c>
      <c r="B450" s="13"/>
      <c r="C450" s="7" t="s">
        <v>1003</v>
      </c>
      <c r="D450" s="7" t="s">
        <v>1124</v>
      </c>
      <c r="E450" s="7" t="s">
        <v>1454</v>
      </c>
      <c r="F450" s="7">
        <v>1</v>
      </c>
      <c r="G450" s="7" t="s">
        <v>924</v>
      </c>
      <c r="H450" s="6"/>
      <c r="I450" s="6"/>
      <c r="J450" s="6"/>
      <c r="K450" s="6"/>
      <c r="L450" s="6"/>
      <c r="M450" s="93"/>
      <c r="N450" s="11"/>
      <c r="O450" s="11"/>
      <c r="P450" s="11"/>
      <c r="Q450" s="11"/>
      <c r="R450" s="11"/>
      <c r="S450" s="11"/>
      <c r="T450" s="11"/>
      <c r="U450" s="11"/>
      <c r="V450" s="11"/>
      <c r="W450" s="11"/>
      <c r="X450" s="11"/>
      <c r="Y450" s="11"/>
      <c r="Z450" s="11"/>
      <c r="AA450" s="11"/>
      <c r="AB450" s="11"/>
      <c r="AC450" s="11"/>
      <c r="AD450" s="11"/>
      <c r="AE450" s="11"/>
      <c r="AF450" s="11"/>
      <c r="AG450" s="11"/>
      <c r="AH450" s="11"/>
      <c r="AI450" s="11"/>
      <c r="AJ450" s="11"/>
      <c r="AK450" s="11"/>
      <c r="AL450" s="11"/>
      <c r="AM450" s="11"/>
      <c r="AN450" s="11"/>
      <c r="AO450" s="11"/>
      <c r="AP450" s="11"/>
      <c r="AQ450" s="11"/>
      <c r="AR450" s="11"/>
      <c r="AS450" s="11"/>
      <c r="AT450" s="11"/>
      <c r="AU450" s="11"/>
      <c r="AV450" s="11"/>
      <c r="AW450" s="11"/>
      <c r="AX450" s="11"/>
      <c r="AY450" s="11"/>
      <c r="AZ450" s="11"/>
      <c r="BA450" s="11"/>
      <c r="BB450" s="11"/>
      <c r="BC450" s="11"/>
      <c r="BD450" s="11"/>
      <c r="BE450" s="11"/>
      <c r="BF450" s="11"/>
      <c r="BG450" s="11"/>
      <c r="BH450" s="11"/>
      <c r="BI450" s="11"/>
      <c r="BJ450" s="11"/>
      <c r="BK450" s="11"/>
      <c r="BL450" s="11"/>
      <c r="BM450" s="11"/>
      <c r="BN450" s="11"/>
      <c r="BO450" s="11"/>
      <c r="BP450" s="11"/>
      <c r="BQ450" s="11"/>
      <c r="BR450" s="11"/>
      <c r="BS450" s="11"/>
      <c r="BT450" s="11"/>
      <c r="BU450" s="11"/>
      <c r="BV450" s="11"/>
      <c r="BW450" s="11"/>
      <c r="BX450" s="11"/>
      <c r="BY450" s="11"/>
      <c r="BZ450" s="11"/>
      <c r="CA450" s="11"/>
      <c r="CB450" s="11"/>
      <c r="CC450" s="11"/>
      <c r="CD450" s="11"/>
      <c r="CE450" s="11"/>
      <c r="CF450" s="11"/>
      <c r="CG450" s="11"/>
      <c r="CH450" s="11"/>
      <c r="CI450" s="11"/>
      <c r="CJ450" s="11"/>
      <c r="CK450" s="11"/>
      <c r="CL450" s="11"/>
      <c r="CM450" s="11"/>
      <c r="CN450" s="11"/>
      <c r="CO450" s="11"/>
      <c r="CP450" s="11"/>
      <c r="CQ450" s="11"/>
      <c r="CR450" s="11"/>
      <c r="CS450" s="11"/>
      <c r="CT450" s="11"/>
      <c r="CU450" s="11"/>
      <c r="CV450" s="11"/>
      <c r="CW450" s="11"/>
      <c r="CX450" s="11"/>
      <c r="CY450" s="11"/>
      <c r="CZ450" s="11"/>
    </row>
    <row r="451" spans="1:104" x14ac:dyDescent="0.55000000000000004">
      <c r="A451" s="30">
        <v>12</v>
      </c>
      <c r="B451" s="13"/>
      <c r="C451" s="7" t="s">
        <v>1004</v>
      </c>
      <c r="D451" s="7" t="s">
        <v>1125</v>
      </c>
      <c r="E451" s="7" t="s">
        <v>1454</v>
      </c>
      <c r="F451" s="7">
        <v>1</v>
      </c>
      <c r="G451" s="7" t="s">
        <v>924</v>
      </c>
      <c r="H451" s="6"/>
      <c r="I451" s="6"/>
      <c r="J451" s="6"/>
      <c r="K451" s="6"/>
      <c r="L451" s="6"/>
      <c r="M451" s="93"/>
      <c r="N451" s="11"/>
      <c r="O451" s="11"/>
      <c r="P451" s="11"/>
      <c r="Q451" s="11"/>
      <c r="R451" s="11"/>
      <c r="S451" s="11"/>
      <c r="T451" s="11"/>
      <c r="U451" s="11"/>
      <c r="V451" s="11"/>
      <c r="W451" s="11"/>
      <c r="X451" s="11"/>
      <c r="Y451" s="11"/>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c r="BC451" s="11"/>
      <c r="BD451" s="11"/>
      <c r="BE451" s="11"/>
      <c r="BF451" s="11"/>
      <c r="BG451" s="11"/>
      <c r="BH451" s="11"/>
      <c r="BI451" s="11"/>
      <c r="BJ451" s="11"/>
      <c r="BK451" s="11"/>
      <c r="BL451" s="11"/>
      <c r="BM451" s="11"/>
      <c r="BN451" s="11"/>
      <c r="BO451" s="11"/>
      <c r="BP451" s="11"/>
      <c r="BQ451" s="11"/>
      <c r="BR451" s="11"/>
      <c r="BS451" s="11"/>
      <c r="BT451" s="11"/>
      <c r="BU451" s="11"/>
      <c r="BV451" s="11"/>
      <c r="BW451" s="11"/>
      <c r="BX451" s="11"/>
      <c r="BY451" s="11"/>
      <c r="BZ451" s="11"/>
      <c r="CA451" s="11"/>
      <c r="CB451" s="11"/>
      <c r="CC451" s="11"/>
      <c r="CD451" s="11"/>
      <c r="CE451" s="11"/>
      <c r="CF451" s="11"/>
      <c r="CG451" s="11"/>
      <c r="CH451" s="11"/>
      <c r="CI451" s="11"/>
      <c r="CJ451" s="11"/>
      <c r="CK451" s="11"/>
      <c r="CL451" s="11"/>
      <c r="CM451" s="11"/>
      <c r="CN451" s="11"/>
      <c r="CO451" s="11"/>
      <c r="CP451" s="11"/>
      <c r="CQ451" s="11"/>
      <c r="CR451" s="11"/>
      <c r="CS451" s="11"/>
      <c r="CT451" s="11"/>
      <c r="CU451" s="11"/>
      <c r="CV451" s="11"/>
      <c r="CW451" s="11"/>
      <c r="CX451" s="11"/>
      <c r="CY451" s="11"/>
      <c r="CZ451" s="11"/>
    </row>
    <row r="452" spans="1:104" x14ac:dyDescent="0.55000000000000004">
      <c r="A452" s="30">
        <v>13</v>
      </c>
      <c r="B452" s="13"/>
      <c r="C452" s="7" t="s">
        <v>1005</v>
      </c>
      <c r="D452" s="7" t="s">
        <v>1126</v>
      </c>
      <c r="E452" s="7" t="s">
        <v>1454</v>
      </c>
      <c r="F452" s="7">
        <v>1</v>
      </c>
      <c r="G452" s="7" t="s">
        <v>924</v>
      </c>
      <c r="H452" s="6"/>
      <c r="I452" s="6"/>
      <c r="J452" s="6"/>
      <c r="K452" s="6"/>
      <c r="L452" s="6"/>
      <c r="M452" s="93"/>
      <c r="N452" s="11"/>
      <c r="O452" s="11"/>
      <c r="P452" s="11"/>
      <c r="Q452" s="11"/>
      <c r="R452" s="11"/>
      <c r="S452" s="11"/>
      <c r="T452" s="11"/>
      <c r="U452" s="11"/>
      <c r="V452" s="11"/>
      <c r="W452" s="11"/>
      <c r="X452" s="11"/>
      <c r="Y452" s="11"/>
      <c r="Z452" s="11"/>
      <c r="AA452" s="11"/>
      <c r="AB452" s="11"/>
      <c r="AC452" s="11"/>
      <c r="AD452" s="11"/>
      <c r="AE452" s="11"/>
      <c r="AF452" s="11"/>
      <c r="AG452" s="11"/>
      <c r="AH452" s="11"/>
      <c r="AI452" s="11"/>
      <c r="AJ452" s="11"/>
      <c r="AK452" s="11"/>
      <c r="AL452" s="11"/>
      <c r="AM452" s="11"/>
      <c r="AN452" s="11"/>
      <c r="AO452" s="11"/>
      <c r="AP452" s="11"/>
      <c r="AQ452" s="11"/>
      <c r="AR452" s="11"/>
      <c r="AS452" s="11"/>
      <c r="AT452" s="11"/>
      <c r="AU452" s="11"/>
      <c r="AV452" s="11"/>
      <c r="AW452" s="11"/>
      <c r="AX452" s="11"/>
      <c r="AY452" s="11"/>
      <c r="AZ452" s="11"/>
      <c r="BA452" s="11"/>
      <c r="BB452" s="11"/>
      <c r="BC452" s="11"/>
      <c r="BD452" s="11"/>
      <c r="BE452" s="11"/>
      <c r="BF452" s="11"/>
      <c r="BG452" s="11"/>
      <c r="BH452" s="11"/>
      <c r="BI452" s="11"/>
      <c r="BJ452" s="11"/>
      <c r="BK452" s="11"/>
      <c r="BL452" s="11"/>
      <c r="BM452" s="11"/>
      <c r="BN452" s="11"/>
      <c r="BO452" s="11"/>
      <c r="BP452" s="11"/>
      <c r="BQ452" s="11"/>
      <c r="BR452" s="11"/>
      <c r="BS452" s="11"/>
      <c r="BT452" s="11"/>
      <c r="BU452" s="11"/>
      <c r="BV452" s="11"/>
      <c r="BW452" s="11"/>
      <c r="BX452" s="11"/>
      <c r="BY452" s="11"/>
      <c r="BZ452" s="11"/>
      <c r="CA452" s="11"/>
      <c r="CB452" s="11"/>
      <c r="CC452" s="11"/>
      <c r="CD452" s="11"/>
      <c r="CE452" s="11"/>
      <c r="CF452" s="11"/>
      <c r="CG452" s="11"/>
      <c r="CH452" s="11"/>
      <c r="CI452" s="11"/>
      <c r="CJ452" s="11"/>
      <c r="CK452" s="11"/>
      <c r="CL452" s="11"/>
      <c r="CM452" s="11"/>
      <c r="CN452" s="11"/>
      <c r="CO452" s="11"/>
      <c r="CP452" s="11"/>
      <c r="CQ452" s="11"/>
      <c r="CR452" s="11"/>
      <c r="CS452" s="11"/>
      <c r="CT452" s="11"/>
      <c r="CU452" s="11"/>
      <c r="CV452" s="11"/>
      <c r="CW452" s="11"/>
      <c r="CX452" s="11"/>
      <c r="CY452" s="11"/>
      <c r="CZ452" s="11"/>
    </row>
    <row r="453" spans="1:104" x14ac:dyDescent="0.55000000000000004">
      <c r="A453" s="30">
        <v>14</v>
      </c>
      <c r="B453" s="13"/>
      <c r="C453" s="7" t="s">
        <v>1006</v>
      </c>
      <c r="D453" s="7" t="s">
        <v>1127</v>
      </c>
      <c r="E453" s="7" t="s">
        <v>1142</v>
      </c>
      <c r="F453" s="7">
        <v>1</v>
      </c>
      <c r="G453" s="7" t="s">
        <v>924</v>
      </c>
      <c r="H453" s="6"/>
      <c r="I453" s="6"/>
      <c r="J453" s="6"/>
      <c r="K453" s="6"/>
      <c r="L453" s="6"/>
      <c r="M453" s="93"/>
      <c r="N453" s="11"/>
      <c r="O453" s="11"/>
      <c r="P453" s="11"/>
      <c r="Q453" s="11"/>
      <c r="R453" s="11"/>
      <c r="S453" s="11"/>
      <c r="T453" s="11"/>
      <c r="U453" s="11"/>
      <c r="V453" s="11"/>
      <c r="W453" s="11"/>
      <c r="X453" s="11"/>
      <c r="Y453" s="11"/>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c r="BC453" s="11"/>
      <c r="BD453" s="11"/>
      <c r="BE453" s="11"/>
      <c r="BF453" s="11"/>
      <c r="BG453" s="11"/>
      <c r="BH453" s="11"/>
      <c r="BI453" s="11"/>
      <c r="BJ453" s="11"/>
      <c r="BK453" s="11"/>
      <c r="BL453" s="11"/>
      <c r="BM453" s="11"/>
      <c r="BN453" s="11"/>
      <c r="BO453" s="11"/>
      <c r="BP453" s="11"/>
      <c r="BQ453" s="11"/>
      <c r="BR453" s="11"/>
      <c r="BS453" s="11"/>
      <c r="BT453" s="11"/>
      <c r="BU453" s="11"/>
      <c r="BV453" s="11"/>
      <c r="BW453" s="11"/>
      <c r="BX453" s="11"/>
      <c r="BY453" s="11"/>
      <c r="BZ453" s="11"/>
      <c r="CA453" s="11"/>
      <c r="CB453" s="11"/>
      <c r="CC453" s="11"/>
      <c r="CD453" s="11"/>
      <c r="CE453" s="11"/>
      <c r="CF453" s="11"/>
      <c r="CG453" s="11"/>
      <c r="CH453" s="11"/>
      <c r="CI453" s="11"/>
      <c r="CJ453" s="11"/>
      <c r="CK453" s="11"/>
      <c r="CL453" s="11"/>
      <c r="CM453" s="11"/>
      <c r="CN453" s="11"/>
      <c r="CO453" s="11"/>
      <c r="CP453" s="11"/>
      <c r="CQ453" s="11"/>
      <c r="CR453" s="11"/>
      <c r="CS453" s="11"/>
      <c r="CT453" s="11"/>
      <c r="CU453" s="11"/>
      <c r="CV453" s="11"/>
      <c r="CW453" s="11"/>
      <c r="CX453" s="11"/>
      <c r="CY453" s="11"/>
      <c r="CZ453" s="11"/>
    </row>
    <row r="454" spans="1:104" x14ac:dyDescent="0.55000000000000004">
      <c r="A454" s="30">
        <v>15</v>
      </c>
      <c r="B454" s="13"/>
      <c r="C454" s="7" t="s">
        <v>1007</v>
      </c>
      <c r="D454" s="7" t="s">
        <v>1128</v>
      </c>
      <c r="E454" s="7" t="s">
        <v>1142</v>
      </c>
      <c r="F454" s="7">
        <v>1</v>
      </c>
      <c r="G454" s="7" t="s">
        <v>924</v>
      </c>
      <c r="H454" s="6"/>
      <c r="I454" s="6"/>
      <c r="J454" s="6"/>
      <c r="K454" s="6"/>
      <c r="L454" s="6"/>
      <c r="M454" s="93"/>
      <c r="N454" s="11"/>
      <c r="O454" s="11"/>
      <c r="P454" s="11"/>
      <c r="Q454" s="11"/>
      <c r="R454" s="11"/>
      <c r="S454" s="11"/>
      <c r="T454" s="11"/>
      <c r="U454" s="11"/>
      <c r="V454" s="11"/>
      <c r="W454" s="11"/>
      <c r="X454" s="11"/>
      <c r="Y454" s="11"/>
      <c r="Z454" s="11"/>
      <c r="AA454" s="11"/>
      <c r="AB454" s="11"/>
      <c r="AC454" s="11"/>
      <c r="AD454" s="11"/>
      <c r="AE454" s="11"/>
      <c r="AF454" s="11"/>
      <c r="AG454" s="11"/>
      <c r="AH454" s="11"/>
      <c r="AI454" s="11"/>
      <c r="AJ454" s="11"/>
      <c r="AK454" s="11"/>
      <c r="AL454" s="11"/>
      <c r="AM454" s="11"/>
      <c r="AN454" s="11"/>
      <c r="AO454" s="11"/>
      <c r="AP454" s="11"/>
      <c r="AQ454" s="11"/>
      <c r="AR454" s="11"/>
      <c r="AS454" s="11"/>
      <c r="AT454" s="11"/>
      <c r="AU454" s="11"/>
      <c r="AV454" s="11"/>
      <c r="AW454" s="11"/>
      <c r="AX454" s="11"/>
      <c r="AY454" s="11"/>
      <c r="AZ454" s="11"/>
      <c r="BA454" s="11"/>
      <c r="BB454" s="11"/>
      <c r="BC454" s="11"/>
      <c r="BD454" s="11"/>
      <c r="BE454" s="11"/>
      <c r="BF454" s="11"/>
      <c r="BG454" s="11"/>
      <c r="BH454" s="11"/>
      <c r="BI454" s="11"/>
      <c r="BJ454" s="11"/>
      <c r="BK454" s="11"/>
      <c r="BL454" s="11"/>
      <c r="BM454" s="11"/>
      <c r="BN454" s="11"/>
      <c r="BO454" s="11"/>
      <c r="BP454" s="11"/>
      <c r="BQ454" s="11"/>
      <c r="BR454" s="11"/>
      <c r="BS454" s="11"/>
      <c r="BT454" s="11"/>
      <c r="BU454" s="11"/>
      <c r="BV454" s="11"/>
      <c r="BW454" s="11"/>
      <c r="BX454" s="11"/>
      <c r="BY454" s="11"/>
      <c r="BZ454" s="11"/>
      <c r="CA454" s="11"/>
      <c r="CB454" s="11"/>
      <c r="CC454" s="11"/>
      <c r="CD454" s="11"/>
      <c r="CE454" s="11"/>
      <c r="CF454" s="11"/>
      <c r="CG454" s="11"/>
      <c r="CH454" s="11"/>
      <c r="CI454" s="11"/>
      <c r="CJ454" s="11"/>
      <c r="CK454" s="11"/>
      <c r="CL454" s="11"/>
      <c r="CM454" s="11"/>
      <c r="CN454" s="11"/>
      <c r="CO454" s="11"/>
      <c r="CP454" s="11"/>
      <c r="CQ454" s="11"/>
      <c r="CR454" s="11"/>
      <c r="CS454" s="11"/>
      <c r="CT454" s="11"/>
      <c r="CU454" s="11"/>
      <c r="CV454" s="11"/>
      <c r="CW454" s="11"/>
      <c r="CX454" s="11"/>
      <c r="CY454" s="11"/>
      <c r="CZ454" s="11"/>
    </row>
    <row r="455" spans="1:104" x14ac:dyDescent="0.55000000000000004">
      <c r="A455" s="30">
        <v>16</v>
      </c>
      <c r="B455" s="13"/>
      <c r="C455" s="7" t="s">
        <v>1008</v>
      </c>
      <c r="D455" s="7" t="s">
        <v>1129</v>
      </c>
      <c r="E455" s="7" t="s">
        <v>1142</v>
      </c>
      <c r="F455" s="7">
        <v>1</v>
      </c>
      <c r="G455" s="7" t="s">
        <v>924</v>
      </c>
      <c r="H455" s="6"/>
      <c r="I455" s="6"/>
      <c r="J455" s="6"/>
      <c r="K455" s="6"/>
      <c r="L455" s="6"/>
      <c r="M455" s="93"/>
      <c r="N455" s="11"/>
      <c r="O455" s="11"/>
      <c r="P455" s="11"/>
      <c r="Q455" s="11"/>
      <c r="R455" s="11"/>
      <c r="S455" s="11"/>
      <c r="T455" s="11"/>
      <c r="U455" s="11"/>
      <c r="V455" s="11"/>
      <c r="W455" s="11"/>
      <c r="X455" s="11"/>
      <c r="Y455" s="11"/>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c r="BC455" s="11"/>
      <c r="BD455" s="11"/>
      <c r="BE455" s="11"/>
      <c r="BF455" s="11"/>
      <c r="BG455" s="11"/>
      <c r="BH455" s="11"/>
      <c r="BI455" s="11"/>
      <c r="BJ455" s="11"/>
      <c r="BK455" s="11"/>
      <c r="BL455" s="11"/>
      <c r="BM455" s="11"/>
      <c r="BN455" s="11"/>
      <c r="BO455" s="11"/>
      <c r="BP455" s="11"/>
      <c r="BQ455" s="11"/>
      <c r="BR455" s="11"/>
      <c r="BS455" s="11"/>
      <c r="BT455" s="11"/>
      <c r="BU455" s="11"/>
      <c r="BV455" s="11"/>
      <c r="BW455" s="11"/>
      <c r="BX455" s="11"/>
      <c r="BY455" s="11"/>
      <c r="BZ455" s="11"/>
      <c r="CA455" s="11"/>
      <c r="CB455" s="11"/>
      <c r="CC455" s="11"/>
      <c r="CD455" s="11"/>
      <c r="CE455" s="11"/>
      <c r="CF455" s="11"/>
      <c r="CG455" s="11"/>
      <c r="CH455" s="11"/>
      <c r="CI455" s="11"/>
      <c r="CJ455" s="11"/>
      <c r="CK455" s="11"/>
      <c r="CL455" s="11"/>
      <c r="CM455" s="11"/>
      <c r="CN455" s="11"/>
      <c r="CO455" s="11"/>
      <c r="CP455" s="11"/>
      <c r="CQ455" s="11"/>
      <c r="CR455" s="11"/>
      <c r="CS455" s="11"/>
      <c r="CT455" s="11"/>
      <c r="CU455" s="11"/>
      <c r="CV455" s="11"/>
      <c r="CW455" s="11"/>
      <c r="CX455" s="11"/>
      <c r="CY455" s="11"/>
      <c r="CZ455" s="11"/>
    </row>
    <row r="456" spans="1:104" x14ac:dyDescent="0.55000000000000004">
      <c r="A456" s="30">
        <v>17</v>
      </c>
      <c r="B456" s="13"/>
      <c r="C456" s="7" t="s">
        <v>1009</v>
      </c>
      <c r="D456" s="7" t="s">
        <v>1130</v>
      </c>
      <c r="E456" s="7" t="s">
        <v>1142</v>
      </c>
      <c r="F456" s="7">
        <v>1</v>
      </c>
      <c r="G456" s="7" t="s">
        <v>2</v>
      </c>
      <c r="H456" s="6"/>
      <c r="I456" s="6"/>
      <c r="J456" s="6"/>
      <c r="K456" s="6"/>
      <c r="L456" s="6"/>
      <c r="M456" s="93"/>
      <c r="N456" s="11"/>
      <c r="O456" s="11"/>
      <c r="P456" s="11"/>
      <c r="Q456" s="11"/>
      <c r="R456" s="11"/>
      <c r="S456" s="11"/>
      <c r="T456" s="11"/>
      <c r="U456" s="11"/>
      <c r="V456" s="11"/>
      <c r="W456" s="11"/>
      <c r="X456" s="11"/>
      <c r="Y456" s="11"/>
      <c r="Z456" s="11"/>
      <c r="AA456" s="11"/>
      <c r="AB456" s="11"/>
      <c r="AC456" s="11"/>
      <c r="AD456" s="11"/>
      <c r="AE456" s="11"/>
      <c r="AF456" s="11"/>
      <c r="AG456" s="11"/>
      <c r="AH456" s="11"/>
      <c r="AI456" s="11"/>
      <c r="AJ456" s="11"/>
      <c r="AK456" s="11"/>
      <c r="AL456" s="11"/>
      <c r="AM456" s="11"/>
      <c r="AN456" s="11"/>
      <c r="AO456" s="11"/>
      <c r="AP456" s="11"/>
      <c r="AQ456" s="11"/>
      <c r="AR456" s="11"/>
      <c r="AS456" s="11"/>
      <c r="AT456" s="11"/>
      <c r="AU456" s="11"/>
      <c r="AV456" s="11"/>
      <c r="AW456" s="11"/>
      <c r="AX456" s="11"/>
      <c r="AY456" s="11"/>
      <c r="AZ456" s="11"/>
      <c r="BA456" s="11"/>
      <c r="BB456" s="11"/>
      <c r="BC456" s="11"/>
      <c r="BD456" s="11"/>
      <c r="BE456" s="11"/>
      <c r="BF456" s="11"/>
      <c r="BG456" s="11"/>
      <c r="BH456" s="11"/>
      <c r="BI456" s="11"/>
      <c r="BJ456" s="11"/>
      <c r="BK456" s="11"/>
      <c r="BL456" s="11"/>
      <c r="BM456" s="11"/>
      <c r="BN456" s="11"/>
      <c r="BO456" s="11"/>
      <c r="BP456" s="11"/>
      <c r="BQ456" s="11"/>
      <c r="BR456" s="11"/>
      <c r="BS456" s="11"/>
      <c r="BT456" s="11"/>
      <c r="BU456" s="11"/>
      <c r="BV456" s="11"/>
      <c r="BW456" s="11"/>
      <c r="BX456" s="11"/>
      <c r="BY456" s="11"/>
      <c r="BZ456" s="11"/>
      <c r="CA456" s="11"/>
      <c r="CB456" s="11"/>
      <c r="CC456" s="11"/>
      <c r="CD456" s="11"/>
      <c r="CE456" s="11"/>
      <c r="CF456" s="11"/>
      <c r="CG456" s="11"/>
      <c r="CH456" s="11"/>
      <c r="CI456" s="11"/>
      <c r="CJ456" s="11"/>
      <c r="CK456" s="11"/>
      <c r="CL456" s="11"/>
      <c r="CM456" s="11"/>
      <c r="CN456" s="11"/>
      <c r="CO456" s="11"/>
      <c r="CP456" s="11"/>
      <c r="CQ456" s="11"/>
      <c r="CR456" s="11"/>
      <c r="CS456" s="11"/>
      <c r="CT456" s="11"/>
      <c r="CU456" s="11"/>
      <c r="CV456" s="11"/>
      <c r="CW456" s="11"/>
      <c r="CX456" s="11"/>
      <c r="CY456" s="11"/>
      <c r="CZ456" s="11"/>
    </row>
    <row r="457" spans="1:104" x14ac:dyDescent="0.55000000000000004">
      <c r="A457" s="30">
        <v>18</v>
      </c>
      <c r="B457" s="99" t="s">
        <v>1537</v>
      </c>
      <c r="C457" s="7" t="s">
        <v>1533</v>
      </c>
      <c r="D457" s="7" t="s">
        <v>1675</v>
      </c>
      <c r="E457" s="7" t="s">
        <v>1142</v>
      </c>
      <c r="F457" s="7">
        <v>1</v>
      </c>
      <c r="G457" s="7" t="s">
        <v>2</v>
      </c>
      <c r="H457" s="6"/>
      <c r="I457" s="6"/>
      <c r="J457" s="6"/>
      <c r="K457" s="6"/>
      <c r="L457" s="6"/>
      <c r="M457" s="93"/>
      <c r="N457" s="11"/>
      <c r="O457" s="11"/>
      <c r="P457" s="11"/>
      <c r="Q457" s="11"/>
      <c r="R457" s="11"/>
      <c r="S457" s="11"/>
      <c r="T457" s="11"/>
      <c r="U457" s="11"/>
      <c r="V457" s="11"/>
      <c r="W457" s="11"/>
      <c r="X457" s="11"/>
      <c r="Y457" s="11"/>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c r="BC457" s="11"/>
      <c r="BD457" s="11"/>
      <c r="BE457" s="11"/>
      <c r="BF457" s="11"/>
      <c r="BG457" s="11"/>
      <c r="BH457" s="11"/>
      <c r="BI457" s="11"/>
      <c r="BJ457" s="11"/>
      <c r="BK457" s="11"/>
      <c r="BL457" s="11"/>
      <c r="BM457" s="11"/>
      <c r="BN457" s="11"/>
      <c r="BO457" s="11"/>
      <c r="BP457" s="11"/>
      <c r="BQ457" s="11"/>
      <c r="BR457" s="11"/>
      <c r="BS457" s="11"/>
      <c r="BT457" s="11"/>
      <c r="BU457" s="11"/>
      <c r="BV457" s="11"/>
      <c r="BW457" s="11"/>
      <c r="BX457" s="11"/>
      <c r="BY457" s="11"/>
      <c r="BZ457" s="11"/>
      <c r="CA457" s="11"/>
      <c r="CB457" s="11"/>
      <c r="CC457" s="11"/>
      <c r="CD457" s="11"/>
      <c r="CE457" s="11"/>
      <c r="CF457" s="11"/>
      <c r="CG457" s="11"/>
      <c r="CH457" s="11"/>
      <c r="CI457" s="11"/>
      <c r="CJ457" s="11"/>
      <c r="CK457" s="11"/>
      <c r="CL457" s="11"/>
      <c r="CM457" s="11"/>
      <c r="CN457" s="11"/>
      <c r="CO457" s="11"/>
      <c r="CP457" s="11"/>
      <c r="CQ457" s="11"/>
      <c r="CR457" s="11"/>
      <c r="CS457" s="11"/>
      <c r="CT457" s="11"/>
      <c r="CU457" s="11"/>
      <c r="CV457" s="11"/>
      <c r="CW457" s="11"/>
      <c r="CX457" s="11"/>
      <c r="CY457" s="11"/>
      <c r="CZ457" s="11"/>
    </row>
    <row r="458" spans="1:104" x14ac:dyDescent="0.55000000000000004">
      <c r="A458" s="30">
        <v>19</v>
      </c>
      <c r="B458" s="13" t="s">
        <v>1536</v>
      </c>
      <c r="C458" s="40" t="s">
        <v>1534</v>
      </c>
      <c r="D458" s="40" t="s">
        <v>1535</v>
      </c>
      <c r="E458" s="7" t="s">
        <v>1142</v>
      </c>
      <c r="F458" s="7">
        <v>1</v>
      </c>
      <c r="G458" s="7" t="s">
        <v>924</v>
      </c>
      <c r="H458" s="6"/>
      <c r="I458" s="6"/>
      <c r="J458" s="6"/>
      <c r="K458" s="6"/>
      <c r="L458" s="6"/>
      <c r="M458" s="93"/>
      <c r="N458" s="11"/>
      <c r="O458" s="11"/>
      <c r="P458" s="11"/>
      <c r="Q458" s="11"/>
      <c r="R458" s="11"/>
      <c r="S458" s="11"/>
      <c r="T458" s="11"/>
      <c r="U458" s="11"/>
      <c r="V458" s="11"/>
      <c r="W458" s="11"/>
      <c r="X458" s="11"/>
      <c r="Y458" s="11"/>
      <c r="Z458" s="11"/>
      <c r="AA458" s="11"/>
      <c r="AB458" s="11"/>
      <c r="AC458" s="11"/>
      <c r="AD458" s="11"/>
      <c r="AE458" s="11"/>
      <c r="AF458" s="11"/>
      <c r="AG458" s="11"/>
      <c r="AH458" s="11"/>
      <c r="AI458" s="11"/>
      <c r="AJ458" s="11"/>
      <c r="AK458" s="11"/>
      <c r="AL458" s="11"/>
      <c r="AM458" s="11"/>
      <c r="AN458" s="11"/>
      <c r="AO458" s="11"/>
      <c r="AP458" s="11"/>
      <c r="AQ458" s="11"/>
      <c r="AR458" s="11"/>
      <c r="AS458" s="11"/>
      <c r="AT458" s="11"/>
      <c r="AU458" s="11"/>
      <c r="AV458" s="11"/>
      <c r="AW458" s="11"/>
      <c r="AX458" s="11"/>
      <c r="AY458" s="11"/>
      <c r="AZ458" s="11"/>
      <c r="BA458" s="11"/>
      <c r="BB458" s="11"/>
      <c r="BC458" s="11"/>
      <c r="BD458" s="11"/>
      <c r="BE458" s="11"/>
      <c r="BF458" s="11"/>
      <c r="BG458" s="11"/>
      <c r="BH458" s="11"/>
      <c r="BI458" s="11"/>
      <c r="BJ458" s="11"/>
      <c r="BK458" s="11"/>
      <c r="BL458" s="11"/>
      <c r="BM458" s="11"/>
      <c r="BN458" s="11"/>
      <c r="BO458" s="11"/>
      <c r="BP458" s="11"/>
      <c r="BQ458" s="11"/>
      <c r="BR458" s="11"/>
      <c r="BS458" s="11"/>
      <c r="BT458" s="11"/>
      <c r="BU458" s="11"/>
      <c r="BV458" s="11"/>
      <c r="BW458" s="11"/>
      <c r="BX458" s="11"/>
      <c r="BY458" s="11"/>
      <c r="BZ458" s="11"/>
      <c r="CA458" s="11"/>
      <c r="CB458" s="11"/>
      <c r="CC458" s="11"/>
      <c r="CD458" s="11"/>
      <c r="CE458" s="11"/>
      <c r="CF458" s="11"/>
      <c r="CG458" s="11"/>
      <c r="CH458" s="11"/>
      <c r="CI458" s="11"/>
      <c r="CJ458" s="11"/>
      <c r="CK458" s="11"/>
      <c r="CL458" s="11"/>
      <c r="CM458" s="11"/>
      <c r="CN458" s="11"/>
      <c r="CO458" s="11"/>
      <c r="CP458" s="11"/>
      <c r="CQ458" s="11"/>
      <c r="CR458" s="11"/>
      <c r="CS458" s="11"/>
      <c r="CT458" s="11"/>
      <c r="CU458" s="11"/>
      <c r="CV458" s="11"/>
      <c r="CW458" s="11"/>
      <c r="CX458" s="11"/>
      <c r="CY458" s="11"/>
      <c r="CZ458" s="11"/>
    </row>
    <row r="459" spans="1:104" x14ac:dyDescent="0.55000000000000004">
      <c r="A459" s="30">
        <v>20</v>
      </c>
      <c r="B459" s="13"/>
      <c r="C459" s="7" t="s">
        <v>1010</v>
      </c>
      <c r="D459" s="7" t="s">
        <v>1131</v>
      </c>
      <c r="E459" s="7" t="s">
        <v>1142</v>
      </c>
      <c r="F459" s="7">
        <v>1</v>
      </c>
      <c r="G459" s="7" t="s">
        <v>924</v>
      </c>
      <c r="H459" s="6"/>
      <c r="I459" s="6"/>
      <c r="J459" s="6"/>
      <c r="K459" s="6"/>
      <c r="L459" s="6"/>
      <c r="M459" s="93"/>
      <c r="N459" s="11"/>
      <c r="O459" s="11"/>
      <c r="P459" s="11"/>
      <c r="Q459" s="11"/>
      <c r="R459" s="11"/>
      <c r="S459" s="11"/>
      <c r="T459" s="11"/>
      <c r="U459" s="11"/>
      <c r="V459" s="11"/>
      <c r="W459" s="11"/>
      <c r="X459" s="11"/>
      <c r="Y459" s="11"/>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c r="BC459" s="11"/>
      <c r="BD459" s="11"/>
      <c r="BE459" s="11"/>
      <c r="BF459" s="11"/>
      <c r="BG459" s="11"/>
      <c r="BH459" s="11"/>
      <c r="BI459" s="11"/>
      <c r="BJ459" s="11"/>
      <c r="BK459" s="11"/>
      <c r="BL459" s="11"/>
      <c r="BM459" s="11"/>
      <c r="BN459" s="11"/>
      <c r="BO459" s="11"/>
      <c r="BP459" s="11"/>
      <c r="BQ459" s="11"/>
      <c r="BR459" s="11"/>
      <c r="BS459" s="11"/>
      <c r="BT459" s="11"/>
      <c r="BU459" s="11"/>
      <c r="BV459" s="11"/>
      <c r="BW459" s="11"/>
      <c r="BX459" s="11"/>
      <c r="BY459" s="11"/>
      <c r="BZ459" s="11"/>
      <c r="CA459" s="11"/>
      <c r="CB459" s="11"/>
      <c r="CC459" s="11"/>
      <c r="CD459" s="11"/>
      <c r="CE459" s="11"/>
      <c r="CF459" s="11"/>
      <c r="CG459" s="11"/>
      <c r="CH459" s="11"/>
      <c r="CI459" s="11"/>
      <c r="CJ459" s="11"/>
      <c r="CK459" s="11"/>
      <c r="CL459" s="11"/>
      <c r="CM459" s="11"/>
      <c r="CN459" s="11"/>
      <c r="CO459" s="11"/>
      <c r="CP459" s="11"/>
      <c r="CQ459" s="11"/>
      <c r="CR459" s="11"/>
      <c r="CS459" s="11"/>
      <c r="CT459" s="11"/>
      <c r="CU459" s="11"/>
      <c r="CV459" s="11"/>
      <c r="CW459" s="11"/>
      <c r="CX459" s="11"/>
      <c r="CY459" s="11"/>
      <c r="CZ459" s="11"/>
    </row>
    <row r="460" spans="1:104" x14ac:dyDescent="0.55000000000000004">
      <c r="A460" s="30">
        <v>21</v>
      </c>
      <c r="B460" s="13"/>
      <c r="C460" s="7" t="s">
        <v>1011</v>
      </c>
      <c r="D460" s="7" t="s">
        <v>1132</v>
      </c>
      <c r="E460" s="7" t="s">
        <v>1142</v>
      </c>
      <c r="F460" s="7">
        <v>1</v>
      </c>
      <c r="G460" s="7" t="s">
        <v>924</v>
      </c>
      <c r="H460" s="6"/>
      <c r="I460" s="6"/>
      <c r="J460" s="6"/>
      <c r="K460" s="6"/>
      <c r="L460" s="6"/>
      <c r="M460" s="93"/>
      <c r="N460" s="11"/>
      <c r="O460" s="11"/>
      <c r="P460" s="11"/>
      <c r="Q460" s="11"/>
      <c r="R460" s="11"/>
      <c r="S460" s="11"/>
      <c r="T460" s="11"/>
      <c r="U460" s="11"/>
      <c r="V460" s="11"/>
      <c r="W460" s="11"/>
      <c r="X460" s="11"/>
      <c r="Y460" s="11"/>
      <c r="Z460" s="11"/>
      <c r="AA460" s="11"/>
      <c r="AB460" s="11"/>
      <c r="AC460" s="11"/>
      <c r="AD460" s="11"/>
      <c r="AE460" s="11"/>
      <c r="AF460" s="11"/>
      <c r="AG460" s="11"/>
      <c r="AH460" s="11"/>
      <c r="AI460" s="11"/>
      <c r="AJ460" s="11"/>
      <c r="AK460" s="11"/>
      <c r="AL460" s="11"/>
      <c r="AM460" s="11"/>
      <c r="AN460" s="11"/>
      <c r="AO460" s="11"/>
      <c r="AP460" s="11"/>
      <c r="AQ460" s="11"/>
      <c r="AR460" s="11"/>
      <c r="AS460" s="11"/>
      <c r="AT460" s="11"/>
      <c r="AU460" s="11"/>
      <c r="AV460" s="11"/>
      <c r="AW460" s="11"/>
      <c r="AX460" s="11"/>
      <c r="AY460" s="11"/>
      <c r="AZ460" s="11"/>
      <c r="BA460" s="11"/>
      <c r="BB460" s="11"/>
      <c r="BC460" s="11"/>
      <c r="BD460" s="11"/>
      <c r="BE460" s="11"/>
      <c r="BF460" s="11"/>
      <c r="BG460" s="11"/>
      <c r="BH460" s="11"/>
      <c r="BI460" s="11"/>
      <c r="BJ460" s="11"/>
      <c r="BK460" s="11"/>
      <c r="BL460" s="11"/>
      <c r="BM460" s="11"/>
      <c r="BN460" s="11"/>
      <c r="BO460" s="11"/>
      <c r="BP460" s="11"/>
      <c r="BQ460" s="11"/>
      <c r="BR460" s="11"/>
      <c r="BS460" s="11"/>
      <c r="BT460" s="11"/>
      <c r="BU460" s="11"/>
      <c r="BV460" s="11"/>
      <c r="BW460" s="11"/>
      <c r="BX460" s="11"/>
      <c r="BY460" s="11"/>
      <c r="BZ460" s="11"/>
      <c r="CA460" s="11"/>
      <c r="CB460" s="11"/>
      <c r="CC460" s="11"/>
      <c r="CD460" s="11"/>
      <c r="CE460" s="11"/>
      <c r="CF460" s="11"/>
      <c r="CG460" s="11"/>
      <c r="CH460" s="11"/>
      <c r="CI460" s="11"/>
      <c r="CJ460" s="11"/>
      <c r="CK460" s="11"/>
      <c r="CL460" s="11"/>
      <c r="CM460" s="11"/>
      <c r="CN460" s="11"/>
      <c r="CO460" s="11"/>
      <c r="CP460" s="11"/>
      <c r="CQ460" s="11"/>
      <c r="CR460" s="11"/>
      <c r="CS460" s="11"/>
      <c r="CT460" s="11"/>
      <c r="CU460" s="11"/>
      <c r="CV460" s="11"/>
      <c r="CW460" s="11"/>
      <c r="CX460" s="11"/>
      <c r="CY460" s="11"/>
      <c r="CZ460" s="11"/>
    </row>
    <row r="461" spans="1:104" x14ac:dyDescent="0.55000000000000004">
      <c r="A461" s="30">
        <v>22</v>
      </c>
      <c r="B461" s="13"/>
      <c r="C461" s="7" t="s">
        <v>1012</v>
      </c>
      <c r="D461" s="7" t="s">
        <v>1133</v>
      </c>
      <c r="E461" s="7" t="s">
        <v>1142</v>
      </c>
      <c r="F461" s="7">
        <v>1</v>
      </c>
      <c r="G461" s="7" t="s">
        <v>924</v>
      </c>
      <c r="H461" s="6"/>
      <c r="I461" s="6"/>
      <c r="J461" s="6"/>
      <c r="K461" s="6"/>
      <c r="L461" s="6"/>
      <c r="M461" s="93"/>
      <c r="N461" s="11"/>
      <c r="O461" s="11"/>
      <c r="P461" s="11"/>
      <c r="Q461" s="11"/>
      <c r="R461" s="11"/>
      <c r="S461" s="11"/>
      <c r="T461" s="11"/>
      <c r="U461" s="11"/>
      <c r="V461" s="11"/>
      <c r="W461" s="11"/>
      <c r="X461" s="11"/>
      <c r="Y461" s="11"/>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c r="BC461" s="11"/>
      <c r="BD461" s="11"/>
      <c r="BE461" s="11"/>
      <c r="BF461" s="11"/>
      <c r="BG461" s="11"/>
      <c r="BH461" s="11"/>
      <c r="BI461" s="11"/>
      <c r="BJ461" s="11"/>
      <c r="BK461" s="11"/>
      <c r="BL461" s="11"/>
      <c r="BM461" s="11"/>
      <c r="BN461" s="11"/>
      <c r="BO461" s="11"/>
      <c r="BP461" s="11"/>
      <c r="BQ461" s="11"/>
      <c r="BR461" s="11"/>
      <c r="BS461" s="11"/>
      <c r="BT461" s="11"/>
      <c r="BU461" s="11"/>
      <c r="BV461" s="11"/>
      <c r="BW461" s="11"/>
      <c r="BX461" s="11"/>
      <c r="BY461" s="11"/>
      <c r="BZ461" s="11"/>
      <c r="CA461" s="11"/>
      <c r="CB461" s="11"/>
      <c r="CC461" s="11"/>
      <c r="CD461" s="11"/>
      <c r="CE461" s="11"/>
      <c r="CF461" s="11"/>
      <c r="CG461" s="11"/>
      <c r="CH461" s="11"/>
      <c r="CI461" s="11"/>
      <c r="CJ461" s="11"/>
      <c r="CK461" s="11"/>
      <c r="CL461" s="11"/>
      <c r="CM461" s="11"/>
      <c r="CN461" s="11"/>
      <c r="CO461" s="11"/>
      <c r="CP461" s="11"/>
      <c r="CQ461" s="11"/>
      <c r="CR461" s="11"/>
      <c r="CS461" s="11"/>
      <c r="CT461" s="11"/>
      <c r="CU461" s="11"/>
      <c r="CV461" s="11"/>
      <c r="CW461" s="11"/>
      <c r="CX461" s="11"/>
      <c r="CY461" s="11"/>
      <c r="CZ461" s="11"/>
    </row>
    <row r="462" spans="1:104" x14ac:dyDescent="0.55000000000000004">
      <c r="A462" s="30">
        <v>23</v>
      </c>
      <c r="B462" s="13"/>
      <c r="C462" s="7" t="s">
        <v>1013</v>
      </c>
      <c r="D462" s="7" t="s">
        <v>1134</v>
      </c>
      <c r="E462" s="7" t="s">
        <v>1142</v>
      </c>
      <c r="F462" s="7">
        <v>1</v>
      </c>
      <c r="G462" s="7" t="s">
        <v>924</v>
      </c>
      <c r="H462" s="6"/>
      <c r="I462" s="6"/>
      <c r="J462" s="6"/>
      <c r="K462" s="6"/>
      <c r="L462" s="6"/>
      <c r="M462" s="93"/>
      <c r="N462" s="11"/>
      <c r="O462" s="11"/>
      <c r="P462" s="11"/>
      <c r="Q462" s="11"/>
      <c r="R462" s="11"/>
      <c r="S462" s="11"/>
      <c r="T462" s="11"/>
      <c r="U462" s="11"/>
      <c r="V462" s="11"/>
      <c r="W462" s="11"/>
      <c r="X462" s="11"/>
      <c r="Y462" s="11"/>
      <c r="Z462" s="11"/>
      <c r="AA462" s="11"/>
      <c r="AB462" s="11"/>
      <c r="AC462" s="11"/>
      <c r="AD462" s="11"/>
      <c r="AE462" s="11"/>
      <c r="AF462" s="11"/>
      <c r="AG462" s="11"/>
      <c r="AH462" s="11"/>
      <c r="AI462" s="11"/>
      <c r="AJ462" s="11"/>
      <c r="AK462" s="11"/>
      <c r="AL462" s="11"/>
      <c r="AM462" s="11"/>
      <c r="AN462" s="11"/>
      <c r="AO462" s="11"/>
      <c r="AP462" s="11"/>
      <c r="AQ462" s="11"/>
      <c r="AR462" s="11"/>
      <c r="AS462" s="11"/>
      <c r="AT462" s="11"/>
      <c r="AU462" s="11"/>
      <c r="AV462" s="11"/>
      <c r="AW462" s="11"/>
      <c r="AX462" s="11"/>
      <c r="AY462" s="11"/>
      <c r="AZ462" s="11"/>
      <c r="BA462" s="11"/>
      <c r="BB462" s="11"/>
      <c r="BC462" s="11"/>
      <c r="BD462" s="11"/>
      <c r="BE462" s="11"/>
      <c r="BF462" s="11"/>
      <c r="BG462" s="11"/>
      <c r="BH462" s="11"/>
      <c r="BI462" s="11"/>
      <c r="BJ462" s="11"/>
      <c r="BK462" s="11"/>
      <c r="BL462" s="11"/>
      <c r="BM462" s="11"/>
      <c r="BN462" s="11"/>
      <c r="BO462" s="11"/>
      <c r="BP462" s="11"/>
      <c r="BQ462" s="11"/>
      <c r="BR462" s="11"/>
      <c r="BS462" s="11"/>
      <c r="BT462" s="11"/>
      <c r="BU462" s="11"/>
      <c r="BV462" s="11"/>
      <c r="BW462" s="11"/>
      <c r="BX462" s="11"/>
      <c r="BY462" s="11"/>
      <c r="BZ462" s="11"/>
      <c r="CA462" s="11"/>
      <c r="CB462" s="11"/>
      <c r="CC462" s="11"/>
      <c r="CD462" s="11"/>
      <c r="CE462" s="11"/>
      <c r="CF462" s="11"/>
      <c r="CG462" s="11"/>
      <c r="CH462" s="11"/>
      <c r="CI462" s="11"/>
      <c r="CJ462" s="11"/>
      <c r="CK462" s="11"/>
      <c r="CL462" s="11"/>
      <c r="CM462" s="11"/>
      <c r="CN462" s="11"/>
      <c r="CO462" s="11"/>
      <c r="CP462" s="11"/>
      <c r="CQ462" s="11"/>
      <c r="CR462" s="11"/>
      <c r="CS462" s="11"/>
      <c r="CT462" s="11"/>
      <c r="CU462" s="11"/>
      <c r="CV462" s="11"/>
      <c r="CW462" s="11"/>
      <c r="CX462" s="11"/>
      <c r="CY462" s="11"/>
      <c r="CZ462" s="11"/>
    </row>
    <row r="463" spans="1:104" x14ac:dyDescent="0.55000000000000004">
      <c r="A463" s="30">
        <v>24</v>
      </c>
      <c r="B463" s="13"/>
      <c r="C463" s="7" t="s">
        <v>1014</v>
      </c>
      <c r="D463" s="7" t="s">
        <v>1135</v>
      </c>
      <c r="E463" s="7" t="s">
        <v>1142</v>
      </c>
      <c r="F463" s="7">
        <v>1</v>
      </c>
      <c r="G463" s="7" t="s">
        <v>924</v>
      </c>
      <c r="H463" s="6"/>
      <c r="I463" s="6"/>
      <c r="J463" s="6"/>
      <c r="K463" s="6"/>
      <c r="L463" s="6"/>
      <c r="M463" s="93"/>
      <c r="N463" s="11"/>
      <c r="O463" s="11"/>
      <c r="P463" s="11"/>
      <c r="Q463" s="11"/>
      <c r="R463" s="11"/>
      <c r="S463" s="11"/>
      <c r="T463" s="11"/>
      <c r="U463" s="11"/>
      <c r="V463" s="11"/>
      <c r="W463" s="11"/>
      <c r="X463" s="11"/>
      <c r="Y463" s="11"/>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c r="BC463" s="11"/>
      <c r="BD463" s="11"/>
      <c r="BE463" s="11"/>
      <c r="BF463" s="11"/>
      <c r="BG463" s="11"/>
      <c r="BH463" s="11"/>
      <c r="BI463" s="11"/>
      <c r="BJ463" s="11"/>
      <c r="BK463" s="11"/>
      <c r="BL463" s="11"/>
      <c r="BM463" s="11"/>
      <c r="BN463" s="11"/>
      <c r="BO463" s="11"/>
      <c r="BP463" s="11"/>
      <c r="BQ463" s="11"/>
      <c r="BR463" s="11"/>
      <c r="BS463" s="11"/>
      <c r="BT463" s="11"/>
      <c r="BU463" s="11"/>
      <c r="BV463" s="11"/>
      <c r="BW463" s="11"/>
      <c r="BX463" s="11"/>
      <c r="BY463" s="11"/>
      <c r="BZ463" s="11"/>
      <c r="CA463" s="11"/>
      <c r="CB463" s="11"/>
      <c r="CC463" s="11"/>
      <c r="CD463" s="11"/>
      <c r="CE463" s="11"/>
      <c r="CF463" s="11"/>
      <c r="CG463" s="11"/>
      <c r="CH463" s="11"/>
      <c r="CI463" s="11"/>
      <c r="CJ463" s="11"/>
      <c r="CK463" s="11"/>
      <c r="CL463" s="11"/>
      <c r="CM463" s="11"/>
      <c r="CN463" s="11"/>
      <c r="CO463" s="11"/>
      <c r="CP463" s="11"/>
      <c r="CQ463" s="11"/>
      <c r="CR463" s="11"/>
      <c r="CS463" s="11"/>
      <c r="CT463" s="11"/>
      <c r="CU463" s="11"/>
      <c r="CV463" s="11"/>
      <c r="CW463" s="11"/>
      <c r="CX463" s="11"/>
      <c r="CY463" s="11"/>
      <c r="CZ463" s="11"/>
    </row>
    <row r="464" spans="1:104" x14ac:dyDescent="0.55000000000000004">
      <c r="A464" s="30">
        <v>25</v>
      </c>
      <c r="B464" s="13"/>
      <c r="C464" s="7" t="s">
        <v>1015</v>
      </c>
      <c r="D464" s="7" t="s">
        <v>1136</v>
      </c>
      <c r="E464" s="7" t="s">
        <v>1142</v>
      </c>
      <c r="F464" s="7">
        <v>1</v>
      </c>
      <c r="G464" s="7" t="s">
        <v>924</v>
      </c>
      <c r="H464" s="6"/>
      <c r="I464" s="6"/>
      <c r="J464" s="6"/>
      <c r="K464" s="6"/>
      <c r="L464" s="6"/>
      <c r="M464" s="93"/>
      <c r="N464" s="11"/>
      <c r="O464" s="11"/>
      <c r="P464" s="11"/>
      <c r="Q464" s="11"/>
      <c r="R464" s="11"/>
      <c r="S464" s="11"/>
      <c r="T464" s="11"/>
      <c r="U464" s="11"/>
      <c r="V464" s="11"/>
      <c r="W464" s="11"/>
      <c r="X464" s="11"/>
      <c r="Y464" s="11"/>
      <c r="Z464" s="11"/>
      <c r="AA464" s="11"/>
      <c r="AB464" s="11"/>
      <c r="AC464" s="11"/>
      <c r="AD464" s="11"/>
      <c r="AE464" s="11"/>
      <c r="AF464" s="11"/>
      <c r="AG464" s="11"/>
      <c r="AH464" s="11"/>
      <c r="AI464" s="11"/>
      <c r="AJ464" s="11"/>
      <c r="AK464" s="11"/>
      <c r="AL464" s="11"/>
      <c r="AM464" s="11"/>
      <c r="AN464" s="11"/>
      <c r="AO464" s="11"/>
      <c r="AP464" s="11"/>
      <c r="AQ464" s="11"/>
      <c r="AR464" s="11"/>
      <c r="AS464" s="11"/>
      <c r="AT464" s="11"/>
      <c r="AU464" s="11"/>
      <c r="AV464" s="11"/>
      <c r="AW464" s="11"/>
      <c r="AX464" s="11"/>
      <c r="AY464" s="11"/>
      <c r="AZ464" s="11"/>
      <c r="BA464" s="11"/>
      <c r="BB464" s="11"/>
      <c r="BC464" s="11"/>
      <c r="BD464" s="11"/>
      <c r="BE464" s="11"/>
      <c r="BF464" s="11"/>
      <c r="BG464" s="11"/>
      <c r="BH464" s="11"/>
      <c r="BI464" s="11"/>
      <c r="BJ464" s="11"/>
      <c r="BK464" s="11"/>
      <c r="BL464" s="11"/>
      <c r="BM464" s="11"/>
      <c r="BN464" s="11"/>
      <c r="BO464" s="11"/>
      <c r="BP464" s="11"/>
      <c r="BQ464" s="11"/>
      <c r="BR464" s="11"/>
      <c r="BS464" s="11"/>
      <c r="BT464" s="11"/>
      <c r="BU464" s="11"/>
      <c r="BV464" s="11"/>
      <c r="BW464" s="11"/>
      <c r="BX464" s="11"/>
      <c r="BY464" s="11"/>
      <c r="BZ464" s="11"/>
      <c r="CA464" s="11"/>
      <c r="CB464" s="11"/>
      <c r="CC464" s="11"/>
      <c r="CD464" s="11"/>
      <c r="CE464" s="11"/>
      <c r="CF464" s="11"/>
      <c r="CG464" s="11"/>
      <c r="CH464" s="11"/>
      <c r="CI464" s="11"/>
      <c r="CJ464" s="11"/>
      <c r="CK464" s="11"/>
      <c r="CL464" s="11"/>
      <c r="CM464" s="11"/>
      <c r="CN464" s="11"/>
      <c r="CO464" s="11"/>
      <c r="CP464" s="11"/>
      <c r="CQ464" s="11"/>
      <c r="CR464" s="11"/>
      <c r="CS464" s="11"/>
      <c r="CT464" s="11"/>
      <c r="CU464" s="11"/>
      <c r="CV464" s="11"/>
      <c r="CW464" s="11"/>
      <c r="CX464" s="11"/>
      <c r="CY464" s="11"/>
      <c r="CZ464" s="11"/>
    </row>
    <row r="465" spans="1:104" x14ac:dyDescent="0.55000000000000004">
      <c r="A465" s="30">
        <v>26</v>
      </c>
      <c r="B465" s="13"/>
      <c r="C465" s="7" t="s">
        <v>1016</v>
      </c>
      <c r="D465" s="7" t="s">
        <v>1137</v>
      </c>
      <c r="E465" s="7" t="s">
        <v>1142</v>
      </c>
      <c r="F465" s="7">
        <v>1</v>
      </c>
      <c r="G465" s="7" t="s">
        <v>924</v>
      </c>
      <c r="H465" s="6"/>
      <c r="I465" s="6"/>
      <c r="J465" s="6"/>
      <c r="K465" s="6"/>
      <c r="L465" s="6"/>
      <c r="M465" s="93"/>
      <c r="N465" s="11"/>
      <c r="O465" s="11"/>
      <c r="P465" s="11"/>
      <c r="Q465" s="11"/>
      <c r="R465" s="11"/>
      <c r="S465" s="11"/>
      <c r="T465" s="11"/>
      <c r="U465" s="11"/>
      <c r="V465" s="11"/>
      <c r="W465" s="11"/>
      <c r="X465" s="11"/>
      <c r="Y465" s="11"/>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c r="BC465" s="11"/>
      <c r="BD465" s="11"/>
      <c r="BE465" s="11"/>
      <c r="BF465" s="11"/>
      <c r="BG465" s="11"/>
      <c r="BH465" s="11"/>
      <c r="BI465" s="11"/>
      <c r="BJ465" s="11"/>
      <c r="BK465" s="11"/>
      <c r="BL465" s="11"/>
      <c r="BM465" s="11"/>
      <c r="BN465" s="11"/>
      <c r="BO465" s="11"/>
      <c r="BP465" s="11"/>
      <c r="BQ465" s="11"/>
      <c r="BR465" s="11"/>
      <c r="BS465" s="11"/>
      <c r="BT465" s="11"/>
      <c r="BU465" s="11"/>
      <c r="BV465" s="11"/>
      <c r="BW465" s="11"/>
      <c r="BX465" s="11"/>
      <c r="BY465" s="11"/>
      <c r="BZ465" s="11"/>
      <c r="CA465" s="11"/>
      <c r="CB465" s="11"/>
      <c r="CC465" s="11"/>
      <c r="CD465" s="11"/>
      <c r="CE465" s="11"/>
      <c r="CF465" s="11"/>
      <c r="CG465" s="11"/>
      <c r="CH465" s="11"/>
      <c r="CI465" s="11"/>
      <c r="CJ465" s="11"/>
      <c r="CK465" s="11"/>
      <c r="CL465" s="11"/>
      <c r="CM465" s="11"/>
      <c r="CN465" s="11"/>
      <c r="CO465" s="11"/>
      <c r="CP465" s="11"/>
      <c r="CQ465" s="11"/>
      <c r="CR465" s="11"/>
      <c r="CS465" s="11"/>
      <c r="CT465" s="11"/>
      <c r="CU465" s="11"/>
      <c r="CV465" s="11"/>
      <c r="CW465" s="11"/>
      <c r="CX465" s="11"/>
      <c r="CY465" s="11"/>
      <c r="CZ465" s="11"/>
    </row>
    <row r="466" spans="1:104" x14ac:dyDescent="0.55000000000000004">
      <c r="A466" s="30">
        <v>27</v>
      </c>
      <c r="B466" s="13" t="s">
        <v>1538</v>
      </c>
      <c r="C466" s="7" t="s">
        <v>1539</v>
      </c>
      <c r="D466" s="7" t="s">
        <v>1540</v>
      </c>
      <c r="E466" s="7" t="s">
        <v>1142</v>
      </c>
      <c r="F466" s="7">
        <v>1</v>
      </c>
      <c r="G466" s="7" t="s">
        <v>924</v>
      </c>
      <c r="H466" s="6"/>
      <c r="I466" s="6"/>
      <c r="J466" s="6"/>
      <c r="K466" s="6"/>
      <c r="L466" s="6"/>
      <c r="M466" s="93"/>
      <c r="N466" s="11"/>
      <c r="O466" s="11"/>
      <c r="P466" s="11"/>
      <c r="Q466" s="11"/>
      <c r="R466" s="11"/>
      <c r="S466" s="11"/>
      <c r="T466" s="11"/>
      <c r="U466" s="11"/>
      <c r="V466" s="11"/>
      <c r="W466" s="11"/>
      <c r="X466" s="11"/>
      <c r="Y466" s="11"/>
      <c r="Z466" s="11"/>
      <c r="AA466" s="11"/>
      <c r="AB466" s="11"/>
      <c r="AC466" s="11"/>
      <c r="AD466" s="11"/>
      <c r="AE466" s="11"/>
      <c r="AF466" s="11"/>
      <c r="AG466" s="11"/>
      <c r="AH466" s="11"/>
      <c r="AI466" s="11"/>
      <c r="AJ466" s="11"/>
      <c r="AK466" s="11"/>
      <c r="AL466" s="11"/>
      <c r="AM466" s="11"/>
      <c r="AN466" s="11"/>
      <c r="AO466" s="11"/>
      <c r="AP466" s="11"/>
      <c r="AQ466" s="11"/>
      <c r="AR466" s="11"/>
      <c r="AS466" s="11"/>
      <c r="AT466" s="11"/>
      <c r="AU466" s="11"/>
      <c r="AV466" s="11"/>
      <c r="AW466" s="11"/>
      <c r="AX466" s="11"/>
      <c r="AY466" s="11"/>
      <c r="AZ466" s="11"/>
      <c r="BA466" s="11"/>
      <c r="BB466" s="11"/>
      <c r="BC466" s="11"/>
      <c r="BD466" s="11"/>
      <c r="BE466" s="11"/>
      <c r="BF466" s="11"/>
      <c r="BG466" s="11"/>
      <c r="BH466" s="11"/>
      <c r="BI466" s="11"/>
      <c r="BJ466" s="11"/>
      <c r="BK466" s="11"/>
      <c r="BL466" s="11"/>
      <c r="BM466" s="11"/>
      <c r="BN466" s="11"/>
      <c r="BO466" s="11"/>
      <c r="BP466" s="11"/>
      <c r="BQ466" s="11"/>
      <c r="BR466" s="11"/>
      <c r="BS466" s="11"/>
      <c r="BT466" s="11"/>
      <c r="BU466" s="11"/>
      <c r="BV466" s="11"/>
      <c r="BW466" s="11"/>
      <c r="BX466" s="11"/>
      <c r="BY466" s="11"/>
      <c r="BZ466" s="11"/>
      <c r="CA466" s="11"/>
      <c r="CB466" s="11"/>
      <c r="CC466" s="11"/>
      <c r="CD466" s="11"/>
      <c r="CE466" s="11"/>
      <c r="CF466" s="11"/>
      <c r="CG466" s="11"/>
      <c r="CH466" s="11"/>
      <c r="CI466" s="11"/>
      <c r="CJ466" s="11"/>
      <c r="CK466" s="11"/>
      <c r="CL466" s="11"/>
      <c r="CM466" s="11"/>
      <c r="CN466" s="11"/>
      <c r="CO466" s="11"/>
      <c r="CP466" s="11"/>
      <c r="CQ466" s="11"/>
      <c r="CR466" s="11"/>
      <c r="CS466" s="11"/>
      <c r="CT466" s="11"/>
      <c r="CU466" s="11"/>
      <c r="CV466" s="11"/>
      <c r="CW466" s="11"/>
      <c r="CX466" s="11"/>
      <c r="CY466" s="11"/>
      <c r="CZ466" s="11"/>
    </row>
    <row r="467" spans="1:104" x14ac:dyDescent="0.55000000000000004">
      <c r="B467" s="21"/>
      <c r="C467" s="6" t="s">
        <v>394</v>
      </c>
      <c r="D467" s="6"/>
      <c r="E467" s="6"/>
      <c r="F467" s="6"/>
      <c r="G467" s="6"/>
      <c r="H467" s="6"/>
      <c r="I467" s="6"/>
      <c r="J467" s="6"/>
      <c r="K467" s="6"/>
      <c r="L467" s="6"/>
      <c r="M467" s="93"/>
      <c r="N467" s="11"/>
      <c r="O467" s="11"/>
      <c r="P467" s="11"/>
      <c r="Q467" s="11"/>
      <c r="R467" s="11"/>
      <c r="S467" s="11"/>
      <c r="T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c r="BC467" s="11"/>
      <c r="BD467" s="11"/>
      <c r="BE467" s="11"/>
      <c r="BF467" s="11"/>
      <c r="BG467" s="11"/>
      <c r="BH467" s="11"/>
      <c r="BI467" s="11"/>
      <c r="BJ467" s="11"/>
      <c r="BK467" s="11"/>
      <c r="BL467" s="11"/>
      <c r="BM467" s="11"/>
      <c r="BN467" s="11"/>
      <c r="BO467" s="11"/>
      <c r="BP467" s="11"/>
      <c r="BQ467" s="11"/>
      <c r="BR467" s="11"/>
      <c r="BS467" s="11"/>
      <c r="BT467" s="11"/>
      <c r="BU467" s="11"/>
      <c r="BV467" s="11"/>
      <c r="BW467" s="11"/>
      <c r="BX467" s="11"/>
      <c r="BY467" s="11"/>
      <c r="BZ467" s="11"/>
      <c r="CA467" s="11"/>
      <c r="CB467" s="11"/>
      <c r="CC467" s="11"/>
      <c r="CD467" s="11"/>
      <c r="CE467" s="11"/>
      <c r="CF467" s="11"/>
      <c r="CG467" s="11"/>
      <c r="CH467" s="11"/>
      <c r="CI467" s="11"/>
      <c r="CJ467" s="11"/>
      <c r="CK467" s="11"/>
      <c r="CL467" s="11"/>
      <c r="CM467" s="11"/>
      <c r="CN467" s="11"/>
      <c r="CO467" s="11"/>
      <c r="CP467" s="11"/>
      <c r="CQ467" s="11"/>
      <c r="CR467" s="11"/>
      <c r="CS467" s="11"/>
      <c r="CT467" s="11"/>
      <c r="CU467" s="11"/>
      <c r="CV467" s="11"/>
      <c r="CW467" s="11"/>
      <c r="CX467" s="11"/>
      <c r="CY467" s="11"/>
      <c r="CZ467" s="11"/>
    </row>
    <row r="468" spans="1:104" x14ac:dyDescent="0.55000000000000004">
      <c r="B468" s="74" t="s">
        <v>1596</v>
      </c>
      <c r="C468" s="6" t="s">
        <v>468</v>
      </c>
      <c r="D468" s="6" t="s">
        <v>912</v>
      </c>
      <c r="E468" s="6"/>
      <c r="F468" s="6"/>
      <c r="G468" s="6"/>
      <c r="H468" s="6"/>
      <c r="I468" s="6"/>
      <c r="J468" s="6"/>
      <c r="K468" s="6"/>
      <c r="L468" s="6"/>
      <c r="M468" s="93"/>
      <c r="N468" s="11"/>
      <c r="O468" s="11"/>
      <c r="P468" s="11"/>
      <c r="Q468" s="11"/>
      <c r="R468" s="11"/>
      <c r="S468" s="11"/>
      <c r="T468" s="11"/>
      <c r="AA468" s="11"/>
      <c r="AB468" s="11"/>
      <c r="AC468" s="11"/>
      <c r="AD468" s="11"/>
      <c r="AE468" s="11"/>
      <c r="AF468" s="11"/>
      <c r="AG468" s="11"/>
      <c r="AH468" s="11"/>
      <c r="AI468" s="11"/>
      <c r="AJ468" s="11"/>
      <c r="AK468" s="11"/>
      <c r="AL468" s="11"/>
      <c r="AM468" s="11"/>
      <c r="AN468" s="11"/>
      <c r="AO468" s="11"/>
      <c r="AP468" s="11"/>
      <c r="AQ468" s="11"/>
      <c r="AR468" s="11"/>
      <c r="AS468" s="11"/>
      <c r="AT468" s="11"/>
      <c r="AU468" s="11"/>
      <c r="AV468" s="11"/>
      <c r="AW468" s="11"/>
      <c r="AX468" s="11"/>
      <c r="AY468" s="11"/>
      <c r="AZ468" s="11"/>
      <c r="BA468" s="11"/>
      <c r="BB468" s="11"/>
      <c r="BC468" s="11"/>
      <c r="BD468" s="11"/>
      <c r="BE468" s="11"/>
      <c r="BF468" s="11"/>
      <c r="BG468" s="11"/>
      <c r="BH468" s="11"/>
      <c r="BI468" s="11"/>
      <c r="BJ468" s="11"/>
      <c r="BK468" s="11"/>
      <c r="BL468" s="11"/>
      <c r="BM468" s="11"/>
      <c r="BN468" s="11"/>
      <c r="BO468" s="11"/>
      <c r="BP468" s="11"/>
      <c r="BQ468" s="11"/>
      <c r="BR468" s="11"/>
      <c r="BS468" s="11"/>
      <c r="BT468" s="11"/>
      <c r="BU468" s="11"/>
      <c r="BV468" s="11"/>
      <c r="BW468" s="11"/>
      <c r="BX468" s="11"/>
      <c r="BY468" s="11"/>
      <c r="BZ468" s="11"/>
      <c r="CA468" s="11"/>
      <c r="CB468" s="11"/>
      <c r="CC468" s="11"/>
      <c r="CD468" s="11"/>
      <c r="CE468" s="11"/>
      <c r="CF468" s="11"/>
      <c r="CG468" s="11"/>
      <c r="CH468" s="11"/>
      <c r="CI468" s="11"/>
      <c r="CJ468" s="11"/>
      <c r="CK468" s="11"/>
      <c r="CL468" s="11"/>
      <c r="CM468" s="11"/>
      <c r="CN468" s="11"/>
      <c r="CO468" s="11"/>
      <c r="CP468" s="11"/>
      <c r="CQ468" s="11"/>
      <c r="CR468" s="11"/>
      <c r="CS468" s="11"/>
      <c r="CT468" s="11"/>
      <c r="CU468" s="11"/>
      <c r="CV468" s="11"/>
      <c r="CW468" s="11"/>
      <c r="CX468" s="11"/>
      <c r="CY468" s="11"/>
      <c r="CZ468" s="11"/>
    </row>
    <row r="469" spans="1:104" x14ac:dyDescent="0.55000000000000004">
      <c r="A469" s="30">
        <v>1</v>
      </c>
      <c r="B469" s="17" t="s">
        <v>469</v>
      </c>
      <c r="C469" s="7" t="s">
        <v>1017</v>
      </c>
      <c r="D469" s="7" t="s">
        <v>924</v>
      </c>
      <c r="E469" s="6"/>
      <c r="F469" s="6"/>
      <c r="G469" s="6"/>
      <c r="H469" s="6"/>
      <c r="I469" s="6"/>
      <c r="J469" s="6"/>
      <c r="K469" s="6"/>
      <c r="L469" s="6"/>
      <c r="M469" s="93"/>
      <c r="N469" s="11"/>
      <c r="O469" s="11"/>
      <c r="P469" s="11"/>
      <c r="Q469" s="11"/>
      <c r="R469" s="11"/>
      <c r="S469" s="11"/>
      <c r="T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c r="BC469" s="11"/>
      <c r="BD469" s="11"/>
      <c r="BE469" s="11"/>
      <c r="BF469" s="11"/>
      <c r="BG469" s="11"/>
      <c r="BH469" s="11"/>
      <c r="BI469" s="11"/>
      <c r="BJ469" s="11"/>
      <c r="BK469" s="11"/>
      <c r="BL469" s="11"/>
      <c r="BM469" s="11"/>
      <c r="BN469" s="11"/>
      <c r="BO469" s="11"/>
      <c r="BP469" s="11"/>
      <c r="BQ469" s="11"/>
      <c r="BR469" s="11"/>
      <c r="BS469" s="11"/>
      <c r="BT469" s="11"/>
      <c r="BU469" s="11"/>
      <c r="BV469" s="11"/>
      <c r="BW469" s="11"/>
      <c r="BX469" s="11"/>
      <c r="BY469" s="11"/>
      <c r="BZ469" s="11"/>
      <c r="CA469" s="11"/>
      <c r="CB469" s="11"/>
      <c r="CC469" s="11"/>
      <c r="CD469" s="11"/>
      <c r="CE469" s="11"/>
      <c r="CF469" s="11"/>
      <c r="CG469" s="11"/>
      <c r="CH469" s="11"/>
      <c r="CI469" s="11"/>
      <c r="CJ469" s="11"/>
      <c r="CK469" s="11"/>
      <c r="CL469" s="11"/>
      <c r="CM469" s="11"/>
      <c r="CN469" s="11"/>
      <c r="CO469" s="11"/>
      <c r="CP469" s="11"/>
      <c r="CQ469" s="11"/>
      <c r="CR469" s="11"/>
      <c r="CS469" s="11"/>
      <c r="CT469" s="11"/>
      <c r="CU469" s="11"/>
      <c r="CV469" s="11"/>
    </row>
    <row r="470" spans="1:104" x14ac:dyDescent="0.55000000000000004">
      <c r="A470" s="30">
        <v>2</v>
      </c>
      <c r="B470" s="17" t="s">
        <v>470</v>
      </c>
      <c r="C470" s="7" t="s">
        <v>1018</v>
      </c>
      <c r="D470" s="7" t="s">
        <v>924</v>
      </c>
      <c r="E470" s="6"/>
      <c r="F470" s="6"/>
      <c r="G470" s="6"/>
      <c r="H470" s="6"/>
      <c r="I470" s="6"/>
      <c r="J470" s="6"/>
      <c r="K470" s="6"/>
      <c r="L470" s="6"/>
      <c r="M470" s="93"/>
      <c r="N470" s="11"/>
      <c r="O470" s="11"/>
      <c r="P470" s="11"/>
      <c r="Q470" s="11"/>
      <c r="R470" s="11"/>
      <c r="S470" s="11"/>
      <c r="T470" s="11"/>
      <c r="AA470" s="11"/>
      <c r="AB470" s="11"/>
      <c r="AC470" s="11"/>
      <c r="AD470" s="11"/>
      <c r="AE470" s="11"/>
      <c r="AF470" s="11"/>
      <c r="AG470" s="11"/>
      <c r="AH470" s="11"/>
      <c r="AI470" s="11"/>
      <c r="AJ470" s="11"/>
      <c r="AK470" s="11"/>
      <c r="AL470" s="11"/>
      <c r="AM470" s="11"/>
      <c r="AN470" s="11"/>
      <c r="AO470" s="11"/>
      <c r="AP470" s="11"/>
      <c r="AQ470" s="11"/>
      <c r="AR470" s="11"/>
      <c r="AS470" s="11"/>
      <c r="AT470" s="11"/>
      <c r="AU470" s="11"/>
      <c r="AV470" s="11"/>
      <c r="AW470" s="11"/>
      <c r="AX470" s="11"/>
      <c r="AY470" s="11"/>
      <c r="AZ470" s="11"/>
      <c r="BA470" s="11"/>
      <c r="BB470" s="11"/>
      <c r="BC470" s="11"/>
      <c r="BD470" s="11"/>
      <c r="BE470" s="11"/>
      <c r="BF470" s="11"/>
      <c r="BG470" s="11"/>
      <c r="BH470" s="11"/>
      <c r="BI470" s="11"/>
      <c r="BJ470" s="11"/>
      <c r="BK470" s="11"/>
      <c r="BL470" s="11"/>
      <c r="BM470" s="11"/>
      <c r="BN470" s="11"/>
      <c r="BO470" s="11"/>
      <c r="BP470" s="11"/>
      <c r="BQ470" s="11"/>
      <c r="BR470" s="11"/>
      <c r="BS470" s="11"/>
      <c r="BT470" s="11"/>
      <c r="BU470" s="11"/>
      <c r="BV470" s="11"/>
      <c r="BW470" s="11"/>
      <c r="BX470" s="11"/>
      <c r="BY470" s="11"/>
      <c r="BZ470" s="11"/>
      <c r="CA470" s="11"/>
      <c r="CB470" s="11"/>
      <c r="CC470" s="11"/>
      <c r="CD470" s="11"/>
      <c r="CE470" s="11"/>
      <c r="CF470" s="11"/>
      <c r="CG470" s="11"/>
      <c r="CH470" s="11"/>
      <c r="CI470" s="11"/>
      <c r="CJ470" s="11"/>
      <c r="CK470" s="11"/>
      <c r="CL470" s="11"/>
      <c r="CM470" s="11"/>
      <c r="CN470" s="11"/>
      <c r="CO470" s="11"/>
      <c r="CP470" s="11"/>
      <c r="CQ470" s="11"/>
      <c r="CR470" s="11"/>
      <c r="CS470" s="11"/>
      <c r="CT470" s="11"/>
      <c r="CU470" s="11"/>
      <c r="CV470" s="11"/>
    </row>
    <row r="471" spans="1:104" x14ac:dyDescent="0.55000000000000004">
      <c r="A471" s="30">
        <v>3</v>
      </c>
      <c r="B471" s="17" t="s">
        <v>471</v>
      </c>
      <c r="C471" s="7" t="s">
        <v>1019</v>
      </c>
      <c r="D471" s="7" t="s">
        <v>924</v>
      </c>
      <c r="E471" s="6"/>
      <c r="F471" s="6"/>
      <c r="G471" s="6"/>
      <c r="H471" s="6"/>
      <c r="I471" s="6"/>
      <c r="J471" s="6"/>
      <c r="K471" s="6"/>
      <c r="L471" s="6"/>
      <c r="M471" s="93"/>
      <c r="N471" s="11"/>
      <c r="O471" s="11"/>
      <c r="P471" s="11"/>
      <c r="Q471" s="11"/>
      <c r="R471" s="11"/>
      <c r="S471" s="11"/>
      <c r="T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c r="BC471" s="11"/>
      <c r="BD471" s="11"/>
      <c r="BE471" s="11"/>
      <c r="BF471" s="11"/>
      <c r="BG471" s="11"/>
      <c r="BH471" s="11"/>
      <c r="BI471" s="11"/>
      <c r="BJ471" s="11"/>
      <c r="BK471" s="11"/>
      <c r="BL471" s="11"/>
      <c r="BM471" s="11"/>
      <c r="BN471" s="11"/>
      <c r="BO471" s="11"/>
      <c r="BP471" s="11"/>
      <c r="BQ471" s="11"/>
      <c r="BR471" s="11"/>
      <c r="BS471" s="11"/>
      <c r="BT471" s="11"/>
      <c r="BU471" s="11"/>
      <c r="BV471" s="11"/>
      <c r="BW471" s="11"/>
      <c r="BX471" s="11"/>
      <c r="BY471" s="11"/>
      <c r="BZ471" s="11"/>
      <c r="CA471" s="11"/>
      <c r="CB471" s="11"/>
      <c r="CC471" s="11"/>
      <c r="CD471" s="11"/>
      <c r="CE471" s="11"/>
      <c r="CF471" s="11"/>
      <c r="CG471" s="11"/>
      <c r="CH471" s="11"/>
      <c r="CI471" s="11"/>
      <c r="CJ471" s="11"/>
      <c r="CK471" s="11"/>
      <c r="CL471" s="11"/>
      <c r="CM471" s="11"/>
      <c r="CN471" s="11"/>
      <c r="CO471" s="11"/>
      <c r="CP471" s="11"/>
      <c r="CQ471" s="11"/>
      <c r="CR471" s="11"/>
      <c r="CS471" s="11"/>
      <c r="CT471" s="11"/>
      <c r="CU471" s="11"/>
      <c r="CV471" s="11"/>
    </row>
    <row r="472" spans="1:104" x14ac:dyDescent="0.55000000000000004">
      <c r="A472" s="30">
        <v>4</v>
      </c>
      <c r="B472" s="17" t="s">
        <v>472</v>
      </c>
      <c r="C472" s="7" t="s">
        <v>1020</v>
      </c>
      <c r="D472" s="7" t="s">
        <v>924</v>
      </c>
      <c r="E472" s="6"/>
      <c r="F472" s="6"/>
      <c r="G472" s="6"/>
      <c r="H472" s="6"/>
      <c r="I472" s="6"/>
      <c r="J472" s="6"/>
      <c r="K472" s="6"/>
      <c r="L472" s="6"/>
      <c r="M472" s="93"/>
      <c r="N472" s="11"/>
      <c r="O472" s="11"/>
      <c r="P472" s="11"/>
      <c r="Q472" s="11"/>
      <c r="R472" s="11"/>
      <c r="S472" s="11"/>
      <c r="T472" s="11"/>
      <c r="AA472" s="11"/>
      <c r="AB472" s="11"/>
      <c r="AC472" s="11"/>
      <c r="AD472" s="11"/>
      <c r="AE472" s="11"/>
      <c r="AF472" s="11"/>
      <c r="AG472" s="11"/>
      <c r="AH472" s="11"/>
      <c r="AI472" s="11"/>
      <c r="AJ472" s="11"/>
      <c r="AK472" s="11"/>
      <c r="AL472" s="11"/>
      <c r="AM472" s="11"/>
      <c r="AN472" s="11"/>
      <c r="AO472" s="11"/>
      <c r="AP472" s="11"/>
      <c r="AQ472" s="11"/>
      <c r="AR472" s="11"/>
      <c r="AS472" s="11"/>
      <c r="AT472" s="11"/>
      <c r="AU472" s="11"/>
      <c r="AV472" s="11"/>
      <c r="AW472" s="11"/>
      <c r="AX472" s="11"/>
      <c r="AY472" s="11"/>
      <c r="AZ472" s="11"/>
      <c r="BA472" s="11"/>
      <c r="BB472" s="11"/>
      <c r="BC472" s="11"/>
      <c r="BD472" s="11"/>
      <c r="BE472" s="11"/>
      <c r="BF472" s="11"/>
      <c r="BG472" s="11"/>
      <c r="BH472" s="11"/>
      <c r="BI472" s="11"/>
      <c r="BJ472" s="11"/>
      <c r="BK472" s="11"/>
      <c r="BL472" s="11"/>
      <c r="BM472" s="11"/>
      <c r="BN472" s="11"/>
      <c r="BO472" s="11"/>
      <c r="BP472" s="11"/>
      <c r="BQ472" s="11"/>
      <c r="BR472" s="11"/>
      <c r="BS472" s="11"/>
      <c r="BT472" s="11"/>
      <c r="BU472" s="11"/>
      <c r="BV472" s="11"/>
      <c r="BW472" s="11"/>
      <c r="BX472" s="11"/>
      <c r="BY472" s="11"/>
      <c r="BZ472" s="11"/>
      <c r="CA472" s="11"/>
      <c r="CB472" s="11"/>
      <c r="CC472" s="11"/>
      <c r="CD472" s="11"/>
      <c r="CE472" s="11"/>
      <c r="CF472" s="11"/>
      <c r="CG472" s="11"/>
      <c r="CH472" s="11"/>
      <c r="CI472" s="11"/>
      <c r="CJ472" s="11"/>
      <c r="CK472" s="11"/>
      <c r="CL472" s="11"/>
      <c r="CM472" s="11"/>
      <c r="CN472" s="11"/>
      <c r="CO472" s="11"/>
      <c r="CP472" s="11"/>
      <c r="CQ472" s="11"/>
      <c r="CR472" s="11"/>
      <c r="CS472" s="11"/>
      <c r="CT472" s="11"/>
      <c r="CU472" s="11"/>
      <c r="CV472" s="11"/>
    </row>
    <row r="473" spans="1:104" x14ac:dyDescent="0.55000000000000004">
      <c r="A473" s="30">
        <v>5</v>
      </c>
      <c r="B473" s="17" t="s">
        <v>473</v>
      </c>
      <c r="C473" s="7" t="s">
        <v>1021</v>
      </c>
      <c r="D473" s="7" t="s">
        <v>924</v>
      </c>
      <c r="E473" s="6"/>
      <c r="F473" s="6"/>
      <c r="G473" s="6"/>
      <c r="H473" s="6"/>
      <c r="I473" s="6"/>
      <c r="J473" s="6"/>
      <c r="K473" s="6"/>
      <c r="L473" s="6"/>
      <c r="M473" s="93"/>
      <c r="N473" s="11"/>
      <c r="O473" s="11"/>
      <c r="P473" s="11"/>
      <c r="Q473" s="11"/>
      <c r="R473" s="11"/>
      <c r="S473" s="11"/>
      <c r="T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c r="BC473" s="11"/>
      <c r="BD473" s="11"/>
      <c r="BE473" s="11"/>
      <c r="BF473" s="11"/>
      <c r="BG473" s="11"/>
      <c r="BH473" s="11"/>
      <c r="BI473" s="11"/>
      <c r="BJ473" s="11"/>
      <c r="BK473" s="11"/>
      <c r="BL473" s="11"/>
      <c r="BM473" s="11"/>
      <c r="BN473" s="11"/>
      <c r="BO473" s="11"/>
      <c r="BP473" s="11"/>
      <c r="BQ473" s="11"/>
      <c r="BR473" s="11"/>
      <c r="BS473" s="11"/>
      <c r="BT473" s="11"/>
      <c r="BU473" s="11"/>
      <c r="BV473" s="11"/>
      <c r="BW473" s="11"/>
      <c r="BX473" s="11"/>
      <c r="BY473" s="11"/>
      <c r="BZ473" s="11"/>
      <c r="CA473" s="11"/>
      <c r="CB473" s="11"/>
      <c r="CC473" s="11"/>
      <c r="CD473" s="11"/>
      <c r="CE473" s="11"/>
      <c r="CF473" s="11"/>
      <c r="CG473" s="11"/>
      <c r="CH473" s="11"/>
      <c r="CI473" s="11"/>
      <c r="CJ473" s="11"/>
      <c r="CK473" s="11"/>
      <c r="CL473" s="11"/>
      <c r="CM473" s="11"/>
      <c r="CN473" s="11"/>
      <c r="CO473" s="11"/>
      <c r="CP473" s="11"/>
      <c r="CQ473" s="11"/>
      <c r="CR473" s="11"/>
      <c r="CS473" s="11"/>
      <c r="CT473" s="11"/>
      <c r="CU473" s="11"/>
      <c r="CV473" s="11"/>
    </row>
    <row r="474" spans="1:104" x14ac:dyDescent="0.55000000000000004">
      <c r="A474" s="30">
        <v>6</v>
      </c>
      <c r="B474" s="101" t="s">
        <v>474</v>
      </c>
      <c r="C474" s="7" t="s">
        <v>1022</v>
      </c>
      <c r="D474" s="7" t="s">
        <v>924</v>
      </c>
      <c r="E474" s="6"/>
      <c r="F474" s="6"/>
      <c r="G474" s="6"/>
      <c r="H474" s="6"/>
      <c r="I474" s="6"/>
      <c r="J474" s="6"/>
      <c r="K474" s="6"/>
      <c r="L474" s="6"/>
      <c r="M474" s="93"/>
      <c r="N474" s="11"/>
      <c r="O474" s="11"/>
      <c r="P474" s="11"/>
      <c r="Q474" s="11"/>
      <c r="R474" s="11"/>
      <c r="S474" s="11"/>
      <c r="T474" s="11"/>
      <c r="AA474" s="11"/>
      <c r="AB474" s="11"/>
      <c r="AC474" s="11"/>
      <c r="AD474" s="11"/>
      <c r="AE474" s="11"/>
      <c r="AF474" s="11"/>
      <c r="AG474" s="11"/>
      <c r="AH474" s="11"/>
      <c r="AI474" s="11"/>
      <c r="AJ474" s="11"/>
      <c r="AK474" s="11"/>
      <c r="AL474" s="11"/>
      <c r="AM474" s="11"/>
      <c r="AN474" s="11"/>
      <c r="AO474" s="11"/>
      <c r="AP474" s="11"/>
      <c r="AQ474" s="11"/>
      <c r="AR474" s="11"/>
      <c r="AS474" s="11"/>
      <c r="AT474" s="11"/>
      <c r="AU474" s="11"/>
      <c r="AV474" s="11"/>
      <c r="AW474" s="11"/>
      <c r="AX474" s="11"/>
      <c r="AY474" s="11"/>
      <c r="AZ474" s="11"/>
      <c r="BA474" s="11"/>
      <c r="BB474" s="11"/>
      <c r="BC474" s="11"/>
      <c r="BD474" s="11"/>
      <c r="BE474" s="11"/>
      <c r="BF474" s="11"/>
      <c r="BG474" s="11"/>
      <c r="BH474" s="11"/>
      <c r="BI474" s="11"/>
      <c r="BJ474" s="11"/>
      <c r="BK474" s="11"/>
      <c r="BL474" s="11"/>
      <c r="BM474" s="11"/>
      <c r="BN474" s="11"/>
      <c r="BO474" s="11"/>
      <c r="BP474" s="11"/>
      <c r="BQ474" s="11"/>
      <c r="BR474" s="11"/>
      <c r="BS474" s="11"/>
      <c r="BT474" s="11"/>
      <c r="BU474" s="11"/>
      <c r="BV474" s="11"/>
      <c r="BW474" s="11"/>
      <c r="BX474" s="11"/>
      <c r="BY474" s="11"/>
      <c r="BZ474" s="11"/>
      <c r="CA474" s="11"/>
      <c r="CB474" s="11"/>
      <c r="CC474" s="11"/>
      <c r="CD474" s="11"/>
      <c r="CE474" s="11"/>
      <c r="CF474" s="11"/>
      <c r="CG474" s="11"/>
      <c r="CH474" s="11"/>
      <c r="CI474" s="11"/>
      <c r="CJ474" s="11"/>
      <c r="CK474" s="11"/>
      <c r="CL474" s="11"/>
      <c r="CM474" s="11"/>
      <c r="CN474" s="11"/>
      <c r="CO474" s="11"/>
      <c r="CP474" s="11"/>
      <c r="CQ474" s="11"/>
      <c r="CR474" s="11"/>
      <c r="CS474" s="11"/>
      <c r="CT474" s="11"/>
      <c r="CU474" s="11"/>
      <c r="CV474" s="11"/>
    </row>
    <row r="475" spans="1:104" x14ac:dyDescent="0.55000000000000004">
      <c r="A475" s="30">
        <v>7</v>
      </c>
      <c r="B475" s="101" t="s">
        <v>475</v>
      </c>
      <c r="C475" s="7" t="s">
        <v>1023</v>
      </c>
      <c r="D475" s="7" t="s">
        <v>924</v>
      </c>
      <c r="E475" s="6"/>
      <c r="F475" s="6"/>
      <c r="G475" s="6"/>
      <c r="H475" s="6"/>
      <c r="I475" s="6"/>
      <c r="J475" s="6"/>
      <c r="K475" s="6"/>
      <c r="L475" s="6"/>
      <c r="M475" s="93"/>
      <c r="N475" s="11"/>
      <c r="O475" s="11"/>
      <c r="P475" s="11"/>
      <c r="Q475" s="11"/>
      <c r="R475" s="11"/>
      <c r="S475" s="11"/>
      <c r="T475" s="11"/>
      <c r="Z475" s="11"/>
      <c r="AA475" s="11"/>
      <c r="AB475" s="11"/>
      <c r="AC475" s="11"/>
      <c r="AD475" s="11"/>
      <c r="AE475" s="11"/>
      <c r="AF475" s="11"/>
      <c r="AG475" s="11"/>
      <c r="AH475" s="11"/>
      <c r="AI475" s="11"/>
      <c r="AJ475" s="11"/>
      <c r="AK475" s="11"/>
      <c r="AL475" s="11"/>
      <c r="AM475" s="11"/>
      <c r="AN475" s="11"/>
      <c r="AO475" s="11"/>
      <c r="AP475" s="11"/>
      <c r="AQ475" s="11"/>
      <c r="AR475" s="11"/>
      <c r="AS475" s="11"/>
      <c r="AT475" s="11"/>
      <c r="AU475" s="11"/>
      <c r="AV475" s="11"/>
      <c r="AW475" s="11"/>
      <c r="AX475" s="11"/>
      <c r="AY475" s="11"/>
      <c r="AZ475" s="11"/>
      <c r="BA475" s="11"/>
      <c r="BB475" s="11"/>
      <c r="BC475" s="11"/>
      <c r="BD475" s="11"/>
      <c r="BE475" s="11"/>
      <c r="BF475" s="11"/>
      <c r="BG475" s="11"/>
      <c r="BH475" s="11"/>
      <c r="BI475" s="11"/>
      <c r="BJ475" s="11"/>
      <c r="BK475" s="11"/>
      <c r="BL475" s="11"/>
      <c r="BM475" s="11"/>
      <c r="BN475" s="11"/>
      <c r="BO475" s="11"/>
      <c r="BP475" s="11"/>
      <c r="BQ475" s="11"/>
      <c r="BR475" s="11"/>
      <c r="BS475" s="11"/>
      <c r="BT475" s="11"/>
      <c r="BU475" s="11"/>
      <c r="BV475" s="11"/>
      <c r="BW475" s="11"/>
      <c r="BX475" s="11"/>
      <c r="BY475" s="11"/>
      <c r="BZ475" s="11"/>
      <c r="CA475" s="11"/>
      <c r="CB475" s="11"/>
      <c r="CC475" s="11"/>
      <c r="CD475" s="11"/>
      <c r="CE475" s="11"/>
      <c r="CF475" s="11"/>
      <c r="CG475" s="11"/>
      <c r="CH475" s="11"/>
      <c r="CI475" s="11"/>
      <c r="CJ475" s="11"/>
      <c r="CK475" s="11"/>
      <c r="CL475" s="11"/>
      <c r="CM475" s="11"/>
      <c r="CN475" s="11"/>
      <c r="CO475" s="11"/>
      <c r="CP475" s="11"/>
      <c r="CQ475" s="11"/>
      <c r="CR475" s="11"/>
      <c r="CS475" s="11"/>
      <c r="CT475" s="11"/>
      <c r="CU475" s="11"/>
      <c r="CV475" s="11"/>
    </row>
    <row r="476" spans="1:104" x14ac:dyDescent="0.55000000000000004">
      <c r="A476" s="30">
        <v>8</v>
      </c>
      <c r="B476" s="101" t="s">
        <v>476</v>
      </c>
      <c r="C476" s="7" t="s">
        <v>1024</v>
      </c>
      <c r="D476" s="7" t="s">
        <v>924</v>
      </c>
      <c r="E476" s="6"/>
      <c r="F476" s="6"/>
      <c r="G476" s="6"/>
      <c r="H476" s="6"/>
      <c r="I476" s="6"/>
      <c r="J476" s="6"/>
      <c r="K476" s="6"/>
      <c r="L476" s="6"/>
      <c r="M476" s="93"/>
      <c r="N476" s="11"/>
      <c r="O476" s="11"/>
      <c r="P476" s="11"/>
      <c r="Q476" s="11"/>
      <c r="R476" s="11"/>
      <c r="S476" s="11"/>
      <c r="T476" s="11"/>
      <c r="Z476" s="11"/>
      <c r="AA476" s="11"/>
      <c r="AB476" s="11"/>
      <c r="AC476" s="11"/>
      <c r="AD476" s="11"/>
      <c r="AE476" s="11"/>
      <c r="AF476" s="11"/>
      <c r="AG476" s="11"/>
      <c r="AH476" s="11"/>
      <c r="AI476" s="11"/>
      <c r="AJ476" s="11"/>
      <c r="AK476" s="11"/>
      <c r="AL476" s="11"/>
      <c r="AM476" s="11"/>
      <c r="AN476" s="11"/>
      <c r="AO476" s="11"/>
      <c r="AP476" s="11"/>
      <c r="AQ476" s="11"/>
      <c r="AR476" s="11"/>
      <c r="AS476" s="11"/>
      <c r="AT476" s="11"/>
      <c r="AU476" s="11"/>
      <c r="AV476" s="11"/>
      <c r="AW476" s="11"/>
      <c r="AX476" s="11"/>
      <c r="AY476" s="11"/>
      <c r="AZ476" s="11"/>
      <c r="BA476" s="11"/>
      <c r="BB476" s="11"/>
      <c r="BC476" s="11"/>
      <c r="BD476" s="11"/>
      <c r="BE476" s="11"/>
      <c r="BF476" s="11"/>
      <c r="BG476" s="11"/>
      <c r="BH476" s="11"/>
      <c r="BI476" s="11"/>
      <c r="BJ476" s="11"/>
      <c r="BK476" s="11"/>
      <c r="BL476" s="11"/>
      <c r="BM476" s="11"/>
      <c r="BN476" s="11"/>
      <c r="BO476" s="11"/>
      <c r="BP476" s="11"/>
      <c r="BQ476" s="11"/>
      <c r="BR476" s="11"/>
      <c r="BS476" s="11"/>
      <c r="BT476" s="11"/>
      <c r="BU476" s="11"/>
      <c r="BV476" s="11"/>
      <c r="BW476" s="11"/>
      <c r="BX476" s="11"/>
      <c r="BY476" s="11"/>
      <c r="BZ476" s="11"/>
      <c r="CA476" s="11"/>
      <c r="CB476" s="11"/>
      <c r="CC476" s="11"/>
      <c r="CD476" s="11"/>
      <c r="CE476" s="11"/>
      <c r="CF476" s="11"/>
      <c r="CG476" s="11"/>
      <c r="CH476" s="11"/>
      <c r="CI476" s="11"/>
      <c r="CJ476" s="11"/>
      <c r="CK476" s="11"/>
      <c r="CL476" s="11"/>
      <c r="CM476" s="11"/>
      <c r="CN476" s="11"/>
      <c r="CO476" s="11"/>
      <c r="CP476" s="11"/>
      <c r="CQ476" s="11"/>
      <c r="CR476" s="11"/>
      <c r="CS476" s="11"/>
      <c r="CT476" s="11"/>
      <c r="CU476" s="11"/>
      <c r="CV476" s="11"/>
    </row>
    <row r="477" spans="1:104" x14ac:dyDescent="0.55000000000000004">
      <c r="A477" s="30">
        <v>9</v>
      </c>
      <c r="B477" s="17" t="s">
        <v>477</v>
      </c>
      <c r="C477" s="41" t="s">
        <v>1025</v>
      </c>
      <c r="D477" s="40" t="s">
        <v>924</v>
      </c>
      <c r="E477" s="5"/>
      <c r="F477" s="5"/>
      <c r="G477" s="6"/>
      <c r="H477" s="6"/>
      <c r="I477" s="6"/>
      <c r="J477" s="6"/>
      <c r="K477" s="6"/>
      <c r="L477" s="6"/>
      <c r="M477" s="93"/>
      <c r="N477" s="11"/>
      <c r="O477" s="11"/>
      <c r="P477" s="11"/>
      <c r="Q477" s="11"/>
      <c r="R477" s="11"/>
      <c r="S477" s="11"/>
      <c r="T477" s="11"/>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c r="BC477" s="11"/>
      <c r="BD477" s="11"/>
      <c r="BE477" s="11"/>
      <c r="BF477" s="11"/>
      <c r="BG477" s="11"/>
      <c r="BH477" s="11"/>
      <c r="BI477" s="11"/>
      <c r="BJ477" s="11"/>
      <c r="BK477" s="11"/>
      <c r="BL477" s="11"/>
      <c r="BM477" s="11"/>
      <c r="BN477" s="11"/>
      <c r="BO477" s="11"/>
      <c r="BP477" s="11"/>
      <c r="BQ477" s="11"/>
      <c r="BR477" s="11"/>
      <c r="BS477" s="11"/>
      <c r="BT477" s="11"/>
      <c r="BU477" s="11"/>
      <c r="BV477" s="11"/>
      <c r="BW477" s="11"/>
      <c r="BX477" s="11"/>
      <c r="BY477" s="11"/>
      <c r="BZ477" s="11"/>
      <c r="CA477" s="11"/>
      <c r="CB477" s="11"/>
      <c r="CC477" s="11"/>
      <c r="CD477" s="11"/>
      <c r="CE477" s="11"/>
      <c r="CF477" s="11"/>
      <c r="CG477" s="11"/>
      <c r="CH477" s="11"/>
      <c r="CI477" s="11"/>
      <c r="CJ477" s="11"/>
      <c r="CK477" s="11"/>
      <c r="CL477" s="11"/>
      <c r="CM477" s="11"/>
      <c r="CN477" s="11"/>
      <c r="CO477" s="11"/>
      <c r="CP477" s="11"/>
      <c r="CQ477" s="11"/>
      <c r="CR477" s="11"/>
      <c r="CS477" s="11"/>
      <c r="CT477" s="11"/>
      <c r="CU477" s="11"/>
      <c r="CV477" s="11"/>
    </row>
    <row r="478" spans="1:104" x14ac:dyDescent="0.55000000000000004">
      <c r="A478" s="30">
        <v>10</v>
      </c>
      <c r="B478" s="17" t="s">
        <v>478</v>
      </c>
      <c r="C478" s="7" t="s">
        <v>1026</v>
      </c>
      <c r="D478" s="7" t="s">
        <v>924</v>
      </c>
      <c r="E478" s="6"/>
      <c r="F478" s="6"/>
      <c r="G478" s="6"/>
      <c r="H478" s="6"/>
      <c r="I478" s="6"/>
      <c r="J478" s="6"/>
      <c r="K478" s="6"/>
      <c r="L478" s="6"/>
      <c r="M478" s="93"/>
      <c r="N478" s="11"/>
      <c r="O478" s="11"/>
      <c r="P478" s="11"/>
      <c r="Q478" s="11"/>
      <c r="R478" s="11"/>
      <c r="S478" s="11"/>
      <c r="T478" s="11"/>
      <c r="Z478" s="11"/>
      <c r="AA478" s="11"/>
      <c r="AB478" s="11"/>
      <c r="AC478" s="11"/>
      <c r="AD478" s="11"/>
      <c r="AE478" s="11"/>
      <c r="AF478" s="11"/>
      <c r="AG478" s="11"/>
      <c r="AH478" s="11"/>
      <c r="AI478" s="11"/>
      <c r="AJ478" s="11"/>
      <c r="AK478" s="11"/>
      <c r="AL478" s="11"/>
      <c r="AM478" s="11"/>
      <c r="AN478" s="11"/>
      <c r="AO478" s="11"/>
      <c r="AP478" s="11"/>
      <c r="AQ478" s="11"/>
      <c r="AR478" s="11"/>
      <c r="AS478" s="11"/>
      <c r="AT478" s="11"/>
      <c r="AU478" s="11"/>
      <c r="AV478" s="11"/>
      <c r="AW478" s="11"/>
      <c r="AX478" s="11"/>
      <c r="AY478" s="11"/>
      <c r="AZ478" s="11"/>
      <c r="BA478" s="11"/>
      <c r="BB478" s="11"/>
      <c r="BC478" s="11"/>
      <c r="BD478" s="11"/>
      <c r="BE478" s="11"/>
      <c r="BF478" s="11"/>
      <c r="BG478" s="11"/>
      <c r="BH478" s="11"/>
      <c r="BI478" s="11"/>
      <c r="BJ478" s="11"/>
      <c r="BK478" s="11"/>
      <c r="BL478" s="11"/>
      <c r="BM478" s="11"/>
      <c r="BN478" s="11"/>
      <c r="BO478" s="11"/>
      <c r="BP478" s="11"/>
      <c r="BQ478" s="11"/>
      <c r="BR478" s="11"/>
      <c r="BS478" s="11"/>
      <c r="BT478" s="11"/>
      <c r="BU478" s="11"/>
      <c r="BV478" s="11"/>
      <c r="BW478" s="11"/>
      <c r="BX478" s="11"/>
      <c r="BY478" s="11"/>
      <c r="BZ478" s="11"/>
      <c r="CA478" s="11"/>
      <c r="CB478" s="11"/>
      <c r="CC478" s="11"/>
      <c r="CD478" s="11"/>
      <c r="CE478" s="11"/>
      <c r="CF478" s="11"/>
      <c r="CG478" s="11"/>
      <c r="CH478" s="11"/>
      <c r="CI478" s="11"/>
      <c r="CJ478" s="11"/>
      <c r="CK478" s="11"/>
      <c r="CL478" s="11"/>
      <c r="CM478" s="11"/>
      <c r="CN478" s="11"/>
      <c r="CO478" s="11"/>
      <c r="CP478" s="11"/>
      <c r="CQ478" s="11"/>
      <c r="CR478" s="11"/>
      <c r="CS478" s="11"/>
      <c r="CT478" s="11"/>
      <c r="CU478" s="11"/>
      <c r="CV478" s="11"/>
    </row>
    <row r="479" spans="1:104" x14ac:dyDescent="0.55000000000000004">
      <c r="A479" s="30">
        <v>11</v>
      </c>
      <c r="B479" s="17" t="s">
        <v>479</v>
      </c>
      <c r="C479" s="7" t="s">
        <v>1027</v>
      </c>
      <c r="D479" s="7" t="s">
        <v>924</v>
      </c>
      <c r="E479" s="6"/>
      <c r="F479" s="6"/>
      <c r="G479" s="6"/>
      <c r="H479" s="6"/>
      <c r="I479" s="6"/>
      <c r="J479" s="6"/>
      <c r="K479" s="6"/>
      <c r="L479" s="6"/>
      <c r="M479" s="93"/>
      <c r="N479" s="11"/>
      <c r="O479" s="11"/>
      <c r="P479" s="11"/>
      <c r="Q479" s="11"/>
      <c r="R479" s="11"/>
      <c r="S479" s="11"/>
      <c r="T479" s="11"/>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c r="BC479" s="11"/>
      <c r="BD479" s="11"/>
      <c r="BE479" s="11"/>
      <c r="BF479" s="11"/>
      <c r="BG479" s="11"/>
      <c r="BH479" s="11"/>
      <c r="BI479" s="11"/>
      <c r="BJ479" s="11"/>
      <c r="BK479" s="11"/>
      <c r="BL479" s="11"/>
      <c r="BM479" s="11"/>
      <c r="BN479" s="11"/>
      <c r="BO479" s="11"/>
      <c r="BP479" s="11"/>
      <c r="BQ479" s="11"/>
      <c r="BR479" s="11"/>
      <c r="BS479" s="11"/>
      <c r="BT479" s="11"/>
      <c r="BU479" s="11"/>
      <c r="BV479" s="11"/>
      <c r="BW479" s="11"/>
      <c r="BX479" s="11"/>
      <c r="BY479" s="11"/>
      <c r="BZ479" s="11"/>
      <c r="CA479" s="11"/>
      <c r="CB479" s="11"/>
      <c r="CC479" s="11"/>
      <c r="CD479" s="11"/>
      <c r="CE479" s="11"/>
      <c r="CF479" s="11"/>
      <c r="CG479" s="11"/>
      <c r="CH479" s="11"/>
      <c r="CI479" s="11"/>
      <c r="CJ479" s="11"/>
      <c r="CK479" s="11"/>
      <c r="CL479" s="11"/>
      <c r="CM479" s="11"/>
      <c r="CN479" s="11"/>
      <c r="CO479" s="11"/>
      <c r="CP479" s="11"/>
      <c r="CQ479" s="11"/>
      <c r="CR479" s="11"/>
      <c r="CS479" s="11"/>
      <c r="CT479" s="11"/>
      <c r="CU479" s="11"/>
      <c r="CV479" s="11"/>
    </row>
    <row r="480" spans="1:104" x14ac:dyDescent="0.55000000000000004">
      <c r="A480" s="30">
        <v>12</v>
      </c>
      <c r="B480" s="17" t="s">
        <v>480</v>
      </c>
      <c r="C480" s="7" t="s">
        <v>1028</v>
      </c>
      <c r="D480" s="7" t="s">
        <v>924</v>
      </c>
      <c r="E480" s="6"/>
      <c r="F480" s="6"/>
      <c r="G480" s="6"/>
      <c r="H480" s="6"/>
      <c r="I480" s="6"/>
      <c r="J480" s="6"/>
      <c r="K480" s="6"/>
      <c r="L480" s="6"/>
      <c r="M480" s="93"/>
      <c r="N480" s="11"/>
      <c r="O480" s="11"/>
      <c r="P480" s="11"/>
      <c r="Q480" s="11"/>
      <c r="R480" s="11"/>
      <c r="S480" s="11"/>
      <c r="T480" s="11"/>
      <c r="Z480" s="11"/>
      <c r="AA480" s="11"/>
      <c r="AB480" s="11"/>
      <c r="AC480" s="11"/>
      <c r="AD480" s="11"/>
      <c r="AE480" s="11"/>
      <c r="AF480" s="11"/>
      <c r="AG480" s="11"/>
      <c r="AH480" s="11"/>
      <c r="AI480" s="11"/>
      <c r="AJ480" s="11"/>
      <c r="AK480" s="11"/>
      <c r="AL480" s="11"/>
      <c r="AM480" s="11"/>
      <c r="AN480" s="11"/>
      <c r="AO480" s="11"/>
      <c r="AP480" s="11"/>
      <c r="AQ480" s="11"/>
      <c r="AR480" s="11"/>
      <c r="AS480" s="11"/>
      <c r="AT480" s="11"/>
      <c r="AU480" s="11"/>
      <c r="AV480" s="11"/>
      <c r="AW480" s="11"/>
      <c r="AX480" s="11"/>
      <c r="AY480" s="11"/>
      <c r="AZ480" s="11"/>
      <c r="BA480" s="11"/>
      <c r="BB480" s="11"/>
      <c r="BC480" s="11"/>
      <c r="BD480" s="11"/>
      <c r="BE480" s="11"/>
      <c r="BF480" s="11"/>
      <c r="BG480" s="11"/>
      <c r="BH480" s="11"/>
      <c r="BI480" s="11"/>
      <c r="BJ480" s="11"/>
      <c r="BK480" s="11"/>
      <c r="BL480" s="11"/>
      <c r="BM480" s="11"/>
      <c r="BN480" s="11"/>
      <c r="BO480" s="11"/>
      <c r="BP480" s="11"/>
      <c r="BQ480" s="11"/>
      <c r="BR480" s="11"/>
      <c r="BS480" s="11"/>
      <c r="BT480" s="11"/>
      <c r="BU480" s="11"/>
      <c r="BV480" s="11"/>
      <c r="BW480" s="11"/>
      <c r="BX480" s="11"/>
      <c r="BY480" s="11"/>
      <c r="BZ480" s="11"/>
      <c r="CA480" s="11"/>
      <c r="CB480" s="11"/>
      <c r="CC480" s="11"/>
      <c r="CD480" s="11"/>
      <c r="CE480" s="11"/>
      <c r="CF480" s="11"/>
      <c r="CG480" s="11"/>
      <c r="CH480" s="11"/>
      <c r="CI480" s="11"/>
      <c r="CJ480" s="11"/>
      <c r="CK480" s="11"/>
      <c r="CL480" s="11"/>
      <c r="CM480" s="11"/>
      <c r="CN480" s="11"/>
      <c r="CO480" s="11"/>
      <c r="CP480" s="11"/>
      <c r="CQ480" s="11"/>
      <c r="CR480" s="11"/>
      <c r="CS480" s="11"/>
      <c r="CT480" s="11"/>
      <c r="CU480" s="11"/>
      <c r="CV480" s="11"/>
    </row>
    <row r="481" spans="1:100" x14ac:dyDescent="0.55000000000000004">
      <c r="A481" s="30">
        <v>13</v>
      </c>
      <c r="B481" s="17" t="s">
        <v>481</v>
      </c>
      <c r="C481" s="7" t="s">
        <v>1029</v>
      </c>
      <c r="D481" s="7" t="s">
        <v>924</v>
      </c>
      <c r="E481" s="6"/>
      <c r="F481" s="6"/>
      <c r="G481" s="6"/>
      <c r="H481" s="6"/>
      <c r="I481" s="6"/>
      <c r="J481" s="6"/>
      <c r="K481" s="6"/>
      <c r="L481" s="6"/>
      <c r="M481" s="93"/>
      <c r="N481" s="11"/>
      <c r="O481" s="11"/>
      <c r="P481" s="11"/>
      <c r="Q481" s="11"/>
      <c r="R481" s="11"/>
      <c r="S481" s="11"/>
      <c r="T481" s="11"/>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c r="BC481" s="11"/>
      <c r="BD481" s="11"/>
      <c r="BE481" s="11"/>
      <c r="BF481" s="11"/>
      <c r="BG481" s="11"/>
      <c r="BH481" s="11"/>
      <c r="BI481" s="11"/>
      <c r="BJ481" s="11"/>
      <c r="BK481" s="11"/>
      <c r="BL481" s="11"/>
      <c r="BM481" s="11"/>
      <c r="BN481" s="11"/>
      <c r="BO481" s="11"/>
      <c r="BP481" s="11"/>
      <c r="BQ481" s="11"/>
      <c r="BR481" s="11"/>
      <c r="BS481" s="11"/>
      <c r="BT481" s="11"/>
      <c r="BU481" s="11"/>
      <c r="BV481" s="11"/>
      <c r="BW481" s="11"/>
      <c r="BX481" s="11"/>
      <c r="BY481" s="11"/>
      <c r="BZ481" s="11"/>
      <c r="CA481" s="11"/>
      <c r="CB481" s="11"/>
      <c r="CC481" s="11"/>
      <c r="CD481" s="11"/>
      <c r="CE481" s="11"/>
      <c r="CF481" s="11"/>
      <c r="CG481" s="11"/>
      <c r="CH481" s="11"/>
      <c r="CI481" s="11"/>
      <c r="CJ481" s="11"/>
      <c r="CK481" s="11"/>
      <c r="CL481" s="11"/>
      <c r="CM481" s="11"/>
      <c r="CN481" s="11"/>
      <c r="CO481" s="11"/>
      <c r="CP481" s="11"/>
      <c r="CQ481" s="11"/>
      <c r="CR481" s="11"/>
      <c r="CS481" s="11"/>
      <c r="CT481" s="11"/>
      <c r="CU481" s="11"/>
      <c r="CV481" s="11"/>
    </row>
    <row r="482" spans="1:100" x14ac:dyDescent="0.55000000000000004">
      <c r="A482" s="30">
        <v>14</v>
      </c>
      <c r="B482" s="17" t="s">
        <v>482</v>
      </c>
      <c r="C482" s="7" t="s">
        <v>1030</v>
      </c>
      <c r="D482" s="7" t="s">
        <v>924</v>
      </c>
      <c r="E482" s="6"/>
      <c r="F482" s="6"/>
      <c r="G482" s="6"/>
      <c r="H482" s="6"/>
      <c r="I482" s="6"/>
      <c r="J482" s="6"/>
      <c r="K482" s="6"/>
      <c r="L482" s="6"/>
      <c r="M482" s="93"/>
      <c r="N482" s="11"/>
      <c r="O482" s="11"/>
      <c r="P482" s="11"/>
      <c r="Q482" s="11"/>
      <c r="R482" s="11"/>
      <c r="S482" s="11"/>
      <c r="T482" s="11"/>
      <c r="Z482" s="11"/>
      <c r="AA482" s="11"/>
      <c r="AB482" s="11"/>
      <c r="AC482" s="11"/>
      <c r="AD482" s="11"/>
      <c r="AE482" s="11"/>
      <c r="AF482" s="11"/>
      <c r="AG482" s="11"/>
      <c r="AH482" s="11"/>
      <c r="AI482" s="11"/>
      <c r="AJ482" s="11"/>
      <c r="AK482" s="11"/>
      <c r="AL482" s="11"/>
      <c r="AM482" s="11"/>
      <c r="AN482" s="11"/>
      <c r="AO482" s="11"/>
      <c r="AP482" s="11"/>
      <c r="AQ482" s="11"/>
      <c r="AR482" s="11"/>
      <c r="AS482" s="11"/>
      <c r="AT482" s="11"/>
      <c r="AU482" s="11"/>
      <c r="AV482" s="11"/>
      <c r="AW482" s="11"/>
      <c r="AX482" s="11"/>
      <c r="AY482" s="11"/>
      <c r="AZ482" s="11"/>
      <c r="BA482" s="11"/>
      <c r="BB482" s="11"/>
      <c r="BC482" s="11"/>
      <c r="BD482" s="11"/>
      <c r="BE482" s="11"/>
      <c r="BF482" s="11"/>
      <c r="BG482" s="11"/>
      <c r="BH482" s="11"/>
      <c r="BI482" s="11"/>
      <c r="BJ482" s="11"/>
      <c r="BK482" s="11"/>
      <c r="BL482" s="11"/>
      <c r="BM482" s="11"/>
      <c r="BN482" s="11"/>
      <c r="BO482" s="11"/>
      <c r="BP482" s="11"/>
      <c r="BQ482" s="11"/>
      <c r="BR482" s="11"/>
      <c r="BS482" s="11"/>
      <c r="BT482" s="11"/>
      <c r="BU482" s="11"/>
      <c r="BV482" s="11"/>
      <c r="BW482" s="11"/>
      <c r="BX482" s="11"/>
      <c r="BY482" s="11"/>
      <c r="BZ482" s="11"/>
      <c r="CA482" s="11"/>
      <c r="CB482" s="11"/>
      <c r="CC482" s="11"/>
      <c r="CD482" s="11"/>
      <c r="CE482" s="11"/>
      <c r="CF482" s="11"/>
      <c r="CG482" s="11"/>
      <c r="CH482" s="11"/>
      <c r="CI482" s="11"/>
      <c r="CJ482" s="11"/>
      <c r="CK482" s="11"/>
      <c r="CL482" s="11"/>
      <c r="CM482" s="11"/>
      <c r="CN482" s="11"/>
      <c r="CO482" s="11"/>
      <c r="CP482" s="11"/>
      <c r="CQ482" s="11"/>
      <c r="CR482" s="11"/>
      <c r="CS482" s="11"/>
      <c r="CT482" s="11"/>
      <c r="CU482" s="11"/>
      <c r="CV482" s="11"/>
    </row>
    <row r="483" spans="1:100" x14ac:dyDescent="0.55000000000000004">
      <c r="A483" s="30">
        <v>15</v>
      </c>
      <c r="B483" s="17" t="s">
        <v>483</v>
      </c>
      <c r="C483" s="7" t="s">
        <v>1031</v>
      </c>
      <c r="D483" s="7" t="s">
        <v>924</v>
      </c>
      <c r="E483" s="6"/>
      <c r="F483" s="6"/>
      <c r="G483" s="6"/>
      <c r="H483" s="6"/>
      <c r="I483" s="6"/>
      <c r="J483" s="6"/>
      <c r="K483" s="6"/>
      <c r="L483" s="6"/>
      <c r="M483" s="93"/>
      <c r="N483" s="11"/>
      <c r="O483" s="11"/>
      <c r="P483" s="11"/>
      <c r="Q483" s="11"/>
      <c r="R483" s="11"/>
      <c r="S483" s="11"/>
      <c r="T483" s="11"/>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c r="BC483" s="11"/>
      <c r="BD483" s="11"/>
      <c r="BE483" s="11"/>
      <c r="BF483" s="11"/>
      <c r="BG483" s="11"/>
      <c r="BH483" s="11"/>
      <c r="BI483" s="11"/>
      <c r="BJ483" s="11"/>
      <c r="BK483" s="11"/>
      <c r="BL483" s="11"/>
      <c r="BM483" s="11"/>
      <c r="BN483" s="11"/>
      <c r="BO483" s="11"/>
      <c r="BP483" s="11"/>
      <c r="BQ483" s="11"/>
      <c r="BR483" s="11"/>
      <c r="BS483" s="11"/>
      <c r="BT483" s="11"/>
      <c r="BU483" s="11"/>
      <c r="BV483" s="11"/>
      <c r="BW483" s="11"/>
      <c r="BX483" s="11"/>
      <c r="BY483" s="11"/>
      <c r="BZ483" s="11"/>
      <c r="CA483" s="11"/>
      <c r="CB483" s="11"/>
      <c r="CC483" s="11"/>
      <c r="CD483" s="11"/>
      <c r="CE483" s="11"/>
      <c r="CF483" s="11"/>
      <c r="CG483" s="11"/>
      <c r="CH483" s="11"/>
      <c r="CI483" s="11"/>
      <c r="CJ483" s="11"/>
      <c r="CK483" s="11"/>
      <c r="CL483" s="11"/>
      <c r="CM483" s="11"/>
      <c r="CN483" s="11"/>
      <c r="CO483" s="11"/>
      <c r="CP483" s="11"/>
      <c r="CQ483" s="11"/>
      <c r="CR483" s="11"/>
      <c r="CS483" s="11"/>
      <c r="CT483" s="11"/>
      <c r="CU483" s="11"/>
      <c r="CV483" s="11"/>
    </row>
    <row r="484" spans="1:100" x14ac:dyDescent="0.55000000000000004">
      <c r="A484" s="30">
        <v>16</v>
      </c>
      <c r="B484" s="17" t="s">
        <v>484</v>
      </c>
      <c r="C484" s="7" t="s">
        <v>1032</v>
      </c>
      <c r="D484" s="7" t="s">
        <v>924</v>
      </c>
      <c r="E484" s="6"/>
      <c r="F484" s="6"/>
      <c r="G484" s="6"/>
      <c r="H484" s="6"/>
      <c r="I484" s="6"/>
      <c r="J484" s="6"/>
      <c r="K484" s="6"/>
      <c r="L484" s="6"/>
      <c r="M484" s="93"/>
      <c r="N484" s="11"/>
      <c r="O484" s="11"/>
      <c r="P484" s="11"/>
      <c r="Q484" s="11"/>
      <c r="R484" s="11"/>
      <c r="S484" s="11"/>
      <c r="T484" s="11"/>
      <c r="Z484" s="11"/>
      <c r="AA484" s="11"/>
      <c r="AB484" s="11"/>
      <c r="AC484" s="11"/>
      <c r="AD484" s="11"/>
      <c r="AE484" s="11"/>
      <c r="AF484" s="11"/>
      <c r="AG484" s="11"/>
      <c r="AH484" s="11"/>
      <c r="AI484" s="11"/>
      <c r="AJ484" s="11"/>
      <c r="AK484" s="11"/>
      <c r="AL484" s="11"/>
      <c r="AM484" s="11"/>
      <c r="AN484" s="11"/>
      <c r="AO484" s="11"/>
      <c r="AP484" s="11"/>
      <c r="AQ484" s="11"/>
      <c r="AR484" s="11"/>
      <c r="AS484" s="11"/>
      <c r="AT484" s="11"/>
      <c r="AU484" s="11"/>
      <c r="AV484" s="11"/>
      <c r="AW484" s="11"/>
      <c r="AX484" s="11"/>
      <c r="AY484" s="11"/>
      <c r="AZ484" s="11"/>
      <c r="BA484" s="11"/>
      <c r="BB484" s="11"/>
      <c r="BC484" s="11"/>
      <c r="BD484" s="11"/>
      <c r="BE484" s="11"/>
      <c r="BF484" s="11"/>
      <c r="BG484" s="11"/>
      <c r="BH484" s="11"/>
      <c r="BI484" s="11"/>
      <c r="BJ484" s="11"/>
      <c r="BK484" s="11"/>
      <c r="BL484" s="11"/>
      <c r="BM484" s="11"/>
      <c r="BN484" s="11"/>
      <c r="BO484" s="11"/>
      <c r="BP484" s="11"/>
      <c r="BQ484" s="11"/>
      <c r="BR484" s="11"/>
      <c r="BS484" s="11"/>
      <c r="BT484" s="11"/>
      <c r="BU484" s="11"/>
      <c r="BV484" s="11"/>
      <c r="BW484" s="11"/>
      <c r="BX484" s="11"/>
      <c r="BY484" s="11"/>
      <c r="BZ484" s="11"/>
      <c r="CA484" s="11"/>
      <c r="CB484" s="11"/>
      <c r="CC484" s="11"/>
      <c r="CD484" s="11"/>
      <c r="CE484" s="11"/>
      <c r="CF484" s="11"/>
      <c r="CG484" s="11"/>
      <c r="CH484" s="11"/>
      <c r="CI484" s="11"/>
      <c r="CJ484" s="11"/>
      <c r="CK484" s="11"/>
      <c r="CL484" s="11"/>
      <c r="CM484" s="11"/>
      <c r="CN484" s="11"/>
      <c r="CO484" s="11"/>
      <c r="CP484" s="11"/>
      <c r="CQ484" s="11"/>
      <c r="CR484" s="11"/>
      <c r="CS484" s="11"/>
      <c r="CT484" s="11"/>
      <c r="CU484" s="11"/>
      <c r="CV484" s="11"/>
    </row>
    <row r="485" spans="1:100" x14ac:dyDescent="0.55000000000000004">
      <c r="A485" s="30">
        <v>17</v>
      </c>
      <c r="B485" s="17" t="s">
        <v>485</v>
      </c>
      <c r="C485" s="7" t="s">
        <v>1033</v>
      </c>
      <c r="D485" s="7" t="s">
        <v>924</v>
      </c>
      <c r="E485" s="6"/>
      <c r="F485" s="6"/>
      <c r="G485" s="6"/>
      <c r="H485" s="6"/>
      <c r="I485" s="6"/>
      <c r="J485" s="6"/>
      <c r="K485" s="6"/>
      <c r="L485" s="6"/>
      <c r="M485" s="93"/>
      <c r="N485" s="11"/>
      <c r="O485" s="11"/>
      <c r="P485" s="11"/>
      <c r="Q485" s="11"/>
      <c r="R485" s="11"/>
      <c r="S485" s="11"/>
      <c r="T485" s="11"/>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c r="BC485" s="11"/>
      <c r="BD485" s="11"/>
      <c r="BE485" s="11"/>
      <c r="BF485" s="11"/>
      <c r="BG485" s="11"/>
      <c r="BH485" s="11"/>
      <c r="BI485" s="11"/>
      <c r="BJ485" s="11"/>
      <c r="BK485" s="11"/>
      <c r="BL485" s="11"/>
      <c r="BM485" s="11"/>
      <c r="BN485" s="11"/>
      <c r="BO485" s="11"/>
      <c r="BP485" s="11"/>
      <c r="BQ485" s="11"/>
      <c r="BR485" s="11"/>
      <c r="BS485" s="11"/>
      <c r="BT485" s="11"/>
      <c r="BU485" s="11"/>
      <c r="BV485" s="11"/>
      <c r="BW485" s="11"/>
      <c r="BX485" s="11"/>
      <c r="BY485" s="11"/>
      <c r="BZ485" s="11"/>
      <c r="CA485" s="11"/>
      <c r="CB485" s="11"/>
      <c r="CC485" s="11"/>
      <c r="CD485" s="11"/>
      <c r="CE485" s="11"/>
      <c r="CF485" s="11"/>
      <c r="CG485" s="11"/>
      <c r="CH485" s="11"/>
      <c r="CI485" s="11"/>
      <c r="CJ485" s="11"/>
      <c r="CK485" s="11"/>
      <c r="CL485" s="11"/>
      <c r="CM485" s="11"/>
      <c r="CN485" s="11"/>
      <c r="CO485" s="11"/>
      <c r="CP485" s="11"/>
      <c r="CQ485" s="11"/>
      <c r="CR485" s="11"/>
      <c r="CS485" s="11"/>
      <c r="CT485" s="11"/>
      <c r="CU485" s="11"/>
      <c r="CV485" s="11"/>
    </row>
    <row r="486" spans="1:100" x14ac:dyDescent="0.55000000000000004">
      <c r="A486" s="30">
        <v>18</v>
      </c>
      <c r="B486" s="17" t="s">
        <v>486</v>
      </c>
      <c r="C486" s="7" t="s">
        <v>1034</v>
      </c>
      <c r="D486" s="7" t="s">
        <v>924</v>
      </c>
      <c r="E486" s="6"/>
      <c r="F486" s="6"/>
      <c r="G486" s="6"/>
      <c r="H486" s="6"/>
      <c r="I486" s="6"/>
      <c r="J486" s="6"/>
      <c r="K486" s="6"/>
      <c r="L486" s="6"/>
      <c r="M486" s="93"/>
      <c r="N486" s="11"/>
      <c r="O486" s="11"/>
      <c r="P486" s="11"/>
      <c r="Q486" s="11"/>
      <c r="R486" s="11"/>
      <c r="S486" s="11"/>
      <c r="T486" s="11"/>
      <c r="Z486" s="11"/>
      <c r="AA486" s="11"/>
      <c r="AB486" s="11"/>
      <c r="AC486" s="11"/>
      <c r="AD486" s="11"/>
      <c r="AE486" s="11"/>
      <c r="AF486" s="11"/>
      <c r="AG486" s="11"/>
      <c r="AH486" s="11"/>
      <c r="AI486" s="11"/>
      <c r="AJ486" s="11"/>
      <c r="AK486" s="11"/>
      <c r="AL486" s="11"/>
      <c r="AM486" s="11"/>
      <c r="AN486" s="11"/>
      <c r="AO486" s="11"/>
      <c r="AP486" s="11"/>
      <c r="AQ486" s="11"/>
      <c r="AR486" s="11"/>
      <c r="AS486" s="11"/>
      <c r="AT486" s="11"/>
      <c r="AU486" s="11"/>
      <c r="AV486" s="11"/>
      <c r="AW486" s="11"/>
      <c r="AX486" s="11"/>
      <c r="AY486" s="11"/>
      <c r="AZ486" s="11"/>
      <c r="BA486" s="11"/>
      <c r="BB486" s="11"/>
      <c r="BC486" s="11"/>
      <c r="BD486" s="11"/>
      <c r="BE486" s="11"/>
      <c r="BF486" s="11"/>
      <c r="BG486" s="11"/>
      <c r="BH486" s="11"/>
      <c r="BI486" s="11"/>
      <c r="BJ486" s="11"/>
      <c r="BK486" s="11"/>
      <c r="BL486" s="11"/>
      <c r="BM486" s="11"/>
      <c r="BN486" s="11"/>
      <c r="BO486" s="11"/>
      <c r="BP486" s="11"/>
      <c r="BQ486" s="11"/>
      <c r="BR486" s="11"/>
      <c r="BS486" s="11"/>
      <c r="BT486" s="11"/>
      <c r="BU486" s="11"/>
      <c r="BV486" s="11"/>
      <c r="BW486" s="11"/>
      <c r="BX486" s="11"/>
      <c r="BY486" s="11"/>
      <c r="BZ486" s="11"/>
      <c r="CA486" s="11"/>
      <c r="CB486" s="11"/>
      <c r="CC486" s="11"/>
      <c r="CD486" s="11"/>
      <c r="CE486" s="11"/>
      <c r="CF486" s="11"/>
      <c r="CG486" s="11"/>
      <c r="CH486" s="11"/>
      <c r="CI486" s="11"/>
      <c r="CJ486" s="11"/>
      <c r="CK486" s="11"/>
      <c r="CL486" s="11"/>
      <c r="CM486" s="11"/>
      <c r="CN486" s="11"/>
      <c r="CO486" s="11"/>
      <c r="CP486" s="11"/>
      <c r="CQ486" s="11"/>
      <c r="CR486" s="11"/>
      <c r="CS486" s="11"/>
      <c r="CT486" s="11"/>
      <c r="CU486" s="11"/>
      <c r="CV486" s="11"/>
    </row>
    <row r="487" spans="1:100" x14ac:dyDescent="0.55000000000000004">
      <c r="A487" s="30">
        <v>19</v>
      </c>
      <c r="B487" s="101" t="s">
        <v>487</v>
      </c>
      <c r="C487" s="7" t="s">
        <v>1035</v>
      </c>
      <c r="D487" s="7" t="s">
        <v>924</v>
      </c>
      <c r="E487" s="6"/>
      <c r="F487" s="6"/>
      <c r="G487" s="6"/>
      <c r="H487" s="6"/>
      <c r="I487" s="6"/>
      <c r="J487" s="6"/>
      <c r="K487" s="6"/>
      <c r="L487" s="6"/>
      <c r="M487" s="93"/>
      <c r="N487" s="11"/>
      <c r="O487" s="11"/>
      <c r="P487" s="11"/>
      <c r="Q487" s="11"/>
      <c r="R487" s="11"/>
      <c r="S487" s="11"/>
      <c r="T487" s="11"/>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c r="BC487" s="11"/>
      <c r="BD487" s="11"/>
      <c r="BE487" s="11"/>
      <c r="BF487" s="11"/>
      <c r="BG487" s="11"/>
      <c r="BH487" s="11"/>
      <c r="BI487" s="11"/>
      <c r="BJ487" s="11"/>
      <c r="BK487" s="11"/>
      <c r="BL487" s="11"/>
      <c r="BM487" s="11"/>
      <c r="BN487" s="11"/>
      <c r="BO487" s="11"/>
      <c r="BP487" s="11"/>
      <c r="BQ487" s="11"/>
      <c r="BR487" s="11"/>
      <c r="BS487" s="11"/>
      <c r="BT487" s="11"/>
      <c r="BU487" s="11"/>
      <c r="BV487" s="11"/>
      <c r="BW487" s="11"/>
      <c r="BX487" s="11"/>
      <c r="BY487" s="11"/>
      <c r="BZ487" s="11"/>
      <c r="CA487" s="11"/>
      <c r="CB487" s="11"/>
      <c r="CC487" s="11"/>
      <c r="CD487" s="11"/>
      <c r="CE487" s="11"/>
      <c r="CF487" s="11"/>
      <c r="CG487" s="11"/>
      <c r="CH487" s="11"/>
      <c r="CI487" s="11"/>
      <c r="CJ487" s="11"/>
      <c r="CK487" s="11"/>
      <c r="CL487" s="11"/>
      <c r="CM487" s="11"/>
      <c r="CN487" s="11"/>
      <c r="CO487" s="11"/>
      <c r="CP487" s="11"/>
      <c r="CQ487" s="11"/>
      <c r="CR487" s="11"/>
      <c r="CS487" s="11"/>
      <c r="CT487" s="11"/>
      <c r="CU487" s="11"/>
      <c r="CV487" s="11"/>
    </row>
    <row r="488" spans="1:100" x14ac:dyDescent="0.55000000000000004">
      <c r="A488" s="30">
        <v>20</v>
      </c>
      <c r="B488" s="101" t="s">
        <v>488</v>
      </c>
      <c r="C488" s="7" t="s">
        <v>1036</v>
      </c>
      <c r="D488" s="7" t="s">
        <v>924</v>
      </c>
      <c r="E488" s="6"/>
      <c r="F488" s="6"/>
      <c r="G488" s="6"/>
      <c r="H488" s="6"/>
      <c r="I488" s="6"/>
      <c r="J488" s="6"/>
      <c r="K488" s="6"/>
      <c r="L488" s="6"/>
      <c r="M488" s="93"/>
      <c r="N488" s="11"/>
      <c r="O488" s="11"/>
      <c r="P488" s="11"/>
      <c r="Q488" s="11"/>
      <c r="R488" s="11"/>
      <c r="S488" s="11"/>
      <c r="T488" s="11"/>
      <c r="Z488" s="11"/>
      <c r="AA488" s="11"/>
      <c r="AB488" s="11"/>
      <c r="AC488" s="11"/>
      <c r="AD488" s="11"/>
      <c r="AE488" s="11"/>
      <c r="AF488" s="11"/>
      <c r="AG488" s="11"/>
      <c r="AH488" s="11"/>
      <c r="AI488" s="11"/>
      <c r="AJ488" s="11"/>
      <c r="AK488" s="11"/>
      <c r="AL488" s="11"/>
      <c r="AM488" s="11"/>
      <c r="AN488" s="11"/>
      <c r="AO488" s="11"/>
      <c r="AP488" s="11"/>
      <c r="AQ488" s="11"/>
      <c r="AR488" s="11"/>
      <c r="AS488" s="11"/>
      <c r="AT488" s="11"/>
      <c r="AU488" s="11"/>
      <c r="AV488" s="11"/>
      <c r="AW488" s="11"/>
      <c r="AX488" s="11"/>
      <c r="AY488" s="11"/>
      <c r="AZ488" s="11"/>
      <c r="BA488" s="11"/>
      <c r="BB488" s="11"/>
      <c r="BC488" s="11"/>
      <c r="BD488" s="11"/>
      <c r="BE488" s="11"/>
      <c r="BF488" s="11"/>
      <c r="BG488" s="11"/>
      <c r="BH488" s="11"/>
      <c r="BI488" s="11"/>
      <c r="BJ488" s="11"/>
      <c r="BK488" s="11"/>
      <c r="BL488" s="11"/>
      <c r="BM488" s="11"/>
      <c r="BN488" s="11"/>
      <c r="BO488" s="11"/>
      <c r="BP488" s="11"/>
      <c r="BQ488" s="11"/>
      <c r="BR488" s="11"/>
      <c r="BS488" s="11"/>
      <c r="BT488" s="11"/>
      <c r="BU488" s="11"/>
      <c r="BV488" s="11"/>
      <c r="BW488" s="11"/>
      <c r="BX488" s="11"/>
      <c r="BY488" s="11"/>
      <c r="BZ488" s="11"/>
      <c r="CA488" s="11"/>
      <c r="CB488" s="11"/>
      <c r="CC488" s="11"/>
      <c r="CD488" s="11"/>
      <c r="CE488" s="11"/>
      <c r="CF488" s="11"/>
      <c r="CG488" s="11"/>
      <c r="CH488" s="11"/>
      <c r="CI488" s="11"/>
      <c r="CJ488" s="11"/>
      <c r="CK488" s="11"/>
      <c r="CL488" s="11"/>
      <c r="CM488" s="11"/>
      <c r="CN488" s="11"/>
      <c r="CO488" s="11"/>
      <c r="CP488" s="11"/>
      <c r="CQ488" s="11"/>
      <c r="CR488" s="11"/>
      <c r="CS488" s="11"/>
      <c r="CT488" s="11"/>
      <c r="CU488" s="11"/>
      <c r="CV488" s="11"/>
    </row>
    <row r="489" spans="1:100" x14ac:dyDescent="0.55000000000000004">
      <c r="A489" s="30">
        <v>21</v>
      </c>
      <c r="B489" s="101" t="s">
        <v>489</v>
      </c>
      <c r="C489" s="7" t="s">
        <v>1037</v>
      </c>
      <c r="D489" s="7" t="s">
        <v>924</v>
      </c>
      <c r="E489" s="6"/>
      <c r="F489" s="6"/>
      <c r="G489" s="6"/>
      <c r="H489" s="6"/>
      <c r="I489" s="6"/>
      <c r="J489" s="6"/>
      <c r="K489" s="6"/>
      <c r="L489" s="6"/>
      <c r="M489" s="93"/>
      <c r="N489" s="11"/>
      <c r="O489" s="11"/>
      <c r="P489" s="11"/>
      <c r="Q489" s="11"/>
      <c r="R489" s="11"/>
      <c r="S489" s="11"/>
      <c r="T489" s="11"/>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c r="BC489" s="11"/>
      <c r="BD489" s="11"/>
      <c r="BE489" s="11"/>
      <c r="BF489" s="11"/>
      <c r="BG489" s="11"/>
      <c r="BH489" s="11"/>
      <c r="BI489" s="11"/>
      <c r="BJ489" s="11"/>
      <c r="BK489" s="11"/>
      <c r="BL489" s="11"/>
      <c r="BM489" s="11"/>
      <c r="BN489" s="11"/>
      <c r="BO489" s="11"/>
      <c r="BP489" s="11"/>
      <c r="BQ489" s="11"/>
      <c r="BR489" s="11"/>
      <c r="BS489" s="11"/>
      <c r="BT489" s="11"/>
      <c r="BU489" s="11"/>
      <c r="BV489" s="11"/>
      <c r="BW489" s="11"/>
      <c r="BX489" s="11"/>
      <c r="BY489" s="11"/>
      <c r="BZ489" s="11"/>
      <c r="CA489" s="11"/>
      <c r="CB489" s="11"/>
      <c r="CC489" s="11"/>
      <c r="CD489" s="11"/>
      <c r="CE489" s="11"/>
      <c r="CF489" s="11"/>
      <c r="CG489" s="11"/>
      <c r="CH489" s="11"/>
      <c r="CI489" s="11"/>
      <c r="CJ489" s="11"/>
      <c r="CK489" s="11"/>
      <c r="CL489" s="11"/>
      <c r="CM489" s="11"/>
      <c r="CN489" s="11"/>
      <c r="CO489" s="11"/>
      <c r="CP489" s="11"/>
      <c r="CQ489" s="11"/>
      <c r="CR489" s="11"/>
      <c r="CS489" s="11"/>
      <c r="CT489" s="11"/>
      <c r="CU489" s="11"/>
      <c r="CV489" s="11"/>
    </row>
    <row r="490" spans="1:100" x14ac:dyDescent="0.55000000000000004">
      <c r="A490" s="30">
        <v>22</v>
      </c>
      <c r="B490" s="17" t="s">
        <v>490</v>
      </c>
      <c r="C490" s="7" t="s">
        <v>1038</v>
      </c>
      <c r="D490" s="7" t="s">
        <v>924</v>
      </c>
      <c r="E490" s="6"/>
      <c r="F490" s="6"/>
      <c r="G490" s="6"/>
      <c r="H490" s="6"/>
      <c r="I490" s="6"/>
      <c r="J490" s="6"/>
      <c r="K490" s="6"/>
      <c r="L490" s="6"/>
      <c r="M490" s="93"/>
      <c r="N490" s="11"/>
      <c r="O490" s="11"/>
      <c r="P490" s="11"/>
      <c r="Q490" s="11"/>
      <c r="R490" s="11"/>
      <c r="S490" s="11"/>
      <c r="T490" s="11"/>
      <c r="Z490" s="11"/>
      <c r="AA490" s="11"/>
      <c r="AB490" s="11"/>
      <c r="AC490" s="11"/>
      <c r="AD490" s="11"/>
      <c r="AE490" s="11"/>
      <c r="AF490" s="11"/>
      <c r="AG490" s="11"/>
      <c r="AH490" s="11"/>
      <c r="AI490" s="11"/>
      <c r="AJ490" s="11"/>
      <c r="AK490" s="11"/>
      <c r="AL490" s="11"/>
      <c r="AM490" s="11"/>
      <c r="AN490" s="11"/>
      <c r="AO490" s="11"/>
      <c r="AP490" s="11"/>
      <c r="AQ490" s="11"/>
      <c r="AR490" s="11"/>
      <c r="AS490" s="11"/>
      <c r="AT490" s="11"/>
      <c r="AU490" s="11"/>
      <c r="AV490" s="11"/>
      <c r="AW490" s="11"/>
      <c r="AX490" s="11"/>
      <c r="AY490" s="11"/>
      <c r="AZ490" s="11"/>
      <c r="BA490" s="11"/>
      <c r="BB490" s="11"/>
      <c r="BC490" s="11"/>
      <c r="BD490" s="11"/>
      <c r="BE490" s="11"/>
      <c r="BF490" s="11"/>
      <c r="BG490" s="11"/>
      <c r="BH490" s="11"/>
      <c r="BI490" s="11"/>
      <c r="BJ490" s="11"/>
      <c r="BK490" s="11"/>
      <c r="BL490" s="11"/>
      <c r="BM490" s="11"/>
      <c r="BN490" s="11"/>
      <c r="BO490" s="11"/>
      <c r="BP490" s="11"/>
      <c r="BQ490" s="11"/>
      <c r="BR490" s="11"/>
      <c r="BS490" s="11"/>
      <c r="BT490" s="11"/>
      <c r="BU490" s="11"/>
      <c r="BV490" s="11"/>
      <c r="BW490" s="11"/>
      <c r="BX490" s="11"/>
      <c r="BY490" s="11"/>
      <c r="BZ490" s="11"/>
      <c r="CA490" s="11"/>
      <c r="CB490" s="11"/>
      <c r="CC490" s="11"/>
      <c r="CD490" s="11"/>
      <c r="CE490" s="11"/>
      <c r="CF490" s="11"/>
      <c r="CG490" s="11"/>
      <c r="CH490" s="11"/>
      <c r="CI490" s="11"/>
      <c r="CJ490" s="11"/>
      <c r="CK490" s="11"/>
      <c r="CL490" s="11"/>
      <c r="CM490" s="11"/>
      <c r="CN490" s="11"/>
      <c r="CO490" s="11"/>
      <c r="CP490" s="11"/>
      <c r="CQ490" s="11"/>
      <c r="CR490" s="11"/>
      <c r="CS490" s="11"/>
      <c r="CT490" s="11"/>
      <c r="CU490" s="11"/>
      <c r="CV490" s="11"/>
    </row>
    <row r="491" spans="1:100" x14ac:dyDescent="0.55000000000000004">
      <c r="A491" s="30">
        <v>23</v>
      </c>
      <c r="B491" s="17" t="s">
        <v>491</v>
      </c>
      <c r="C491" s="7" t="s">
        <v>1039</v>
      </c>
      <c r="D491" s="7" t="s">
        <v>924</v>
      </c>
      <c r="E491" s="6"/>
      <c r="F491" s="6"/>
      <c r="G491" s="6"/>
      <c r="H491" s="6"/>
      <c r="I491" s="6"/>
      <c r="J491" s="6"/>
      <c r="K491" s="6"/>
      <c r="L491" s="6"/>
      <c r="M491" s="93"/>
      <c r="N491" s="11"/>
      <c r="O491" s="11"/>
      <c r="P491" s="11"/>
      <c r="Q491" s="11"/>
      <c r="R491" s="11"/>
      <c r="S491" s="11"/>
      <c r="T491" s="11"/>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c r="BC491" s="11"/>
      <c r="BD491" s="11"/>
      <c r="BE491" s="11"/>
      <c r="BF491" s="11"/>
      <c r="BG491" s="11"/>
      <c r="BH491" s="11"/>
      <c r="BI491" s="11"/>
      <c r="BJ491" s="11"/>
      <c r="BK491" s="11"/>
      <c r="BL491" s="11"/>
      <c r="BM491" s="11"/>
      <c r="BN491" s="11"/>
      <c r="BO491" s="11"/>
      <c r="BP491" s="11"/>
      <c r="BQ491" s="11"/>
      <c r="BR491" s="11"/>
      <c r="BS491" s="11"/>
      <c r="BT491" s="11"/>
      <c r="BU491" s="11"/>
      <c r="BV491" s="11"/>
      <c r="BW491" s="11"/>
      <c r="BX491" s="11"/>
      <c r="BY491" s="11"/>
      <c r="BZ491" s="11"/>
      <c r="CA491" s="11"/>
      <c r="CB491" s="11"/>
      <c r="CC491" s="11"/>
      <c r="CD491" s="11"/>
      <c r="CE491" s="11"/>
      <c r="CF491" s="11"/>
      <c r="CG491" s="11"/>
      <c r="CH491" s="11"/>
      <c r="CI491" s="11"/>
      <c r="CJ491" s="11"/>
      <c r="CK491" s="11"/>
      <c r="CL491" s="11"/>
      <c r="CM491" s="11"/>
      <c r="CN491" s="11"/>
      <c r="CO491" s="11"/>
      <c r="CP491" s="11"/>
      <c r="CQ491" s="11"/>
      <c r="CR491" s="11"/>
      <c r="CS491" s="11"/>
      <c r="CT491" s="11"/>
      <c r="CU491" s="11"/>
      <c r="CV491" s="11"/>
    </row>
    <row r="492" spans="1:100" x14ac:dyDescent="0.55000000000000004">
      <c r="A492" s="30">
        <v>24</v>
      </c>
      <c r="B492" s="17" t="s">
        <v>492</v>
      </c>
      <c r="C492" s="7" t="s">
        <v>1040</v>
      </c>
      <c r="D492" s="7" t="s">
        <v>924</v>
      </c>
      <c r="E492" s="6"/>
      <c r="F492" s="6"/>
      <c r="G492" s="6"/>
      <c r="H492" s="6"/>
      <c r="I492" s="6"/>
      <c r="J492" s="6"/>
      <c r="K492" s="6"/>
      <c r="L492" s="6"/>
      <c r="M492" s="93"/>
      <c r="N492" s="11"/>
      <c r="O492" s="11"/>
      <c r="P492" s="11"/>
      <c r="Q492" s="11"/>
      <c r="R492" s="11"/>
      <c r="S492" s="11"/>
      <c r="T492" s="11"/>
      <c r="Z492" s="11"/>
      <c r="AA492" s="11"/>
      <c r="AB492" s="11"/>
      <c r="AC492" s="11"/>
      <c r="AD492" s="11"/>
      <c r="AE492" s="11"/>
      <c r="AF492" s="11"/>
      <c r="AG492" s="11"/>
      <c r="AH492" s="11"/>
      <c r="AI492" s="11"/>
      <c r="AJ492" s="11"/>
      <c r="AK492" s="11"/>
      <c r="AL492" s="11"/>
      <c r="AM492" s="11"/>
      <c r="AN492" s="11"/>
      <c r="AO492" s="11"/>
      <c r="AP492" s="11"/>
      <c r="AQ492" s="11"/>
      <c r="AR492" s="11"/>
      <c r="AS492" s="11"/>
      <c r="AT492" s="11"/>
      <c r="AU492" s="11"/>
      <c r="AV492" s="11"/>
      <c r="AW492" s="11"/>
      <c r="AX492" s="11"/>
      <c r="AY492" s="11"/>
      <c r="AZ492" s="11"/>
      <c r="BA492" s="11"/>
      <c r="BB492" s="11"/>
      <c r="BC492" s="11"/>
      <c r="BD492" s="11"/>
      <c r="BE492" s="11"/>
      <c r="BF492" s="11"/>
      <c r="BG492" s="11"/>
      <c r="BH492" s="11"/>
      <c r="BI492" s="11"/>
      <c r="BJ492" s="11"/>
      <c r="BK492" s="11"/>
      <c r="BL492" s="11"/>
      <c r="BM492" s="11"/>
      <c r="BN492" s="11"/>
      <c r="BO492" s="11"/>
      <c r="BP492" s="11"/>
      <c r="BQ492" s="11"/>
      <c r="BR492" s="11"/>
      <c r="BS492" s="11"/>
      <c r="BT492" s="11"/>
      <c r="BU492" s="11"/>
      <c r="BV492" s="11"/>
      <c r="BW492" s="11"/>
      <c r="BX492" s="11"/>
      <c r="BY492" s="11"/>
      <c r="BZ492" s="11"/>
      <c r="CA492" s="11"/>
      <c r="CB492" s="11"/>
      <c r="CC492" s="11"/>
      <c r="CD492" s="11"/>
      <c r="CE492" s="11"/>
      <c r="CF492" s="11"/>
      <c r="CG492" s="11"/>
      <c r="CH492" s="11"/>
      <c r="CI492" s="11"/>
      <c r="CJ492" s="11"/>
      <c r="CK492" s="11"/>
      <c r="CL492" s="11"/>
      <c r="CM492" s="11"/>
      <c r="CN492" s="11"/>
      <c r="CO492" s="11"/>
      <c r="CP492" s="11"/>
      <c r="CQ492" s="11"/>
      <c r="CR492" s="11"/>
      <c r="CS492" s="11"/>
      <c r="CT492" s="11"/>
      <c r="CU492" s="11"/>
      <c r="CV492" s="11"/>
    </row>
    <row r="493" spans="1:100" x14ac:dyDescent="0.55000000000000004">
      <c r="A493" s="30">
        <v>25</v>
      </c>
      <c r="B493" s="17" t="s">
        <v>493</v>
      </c>
      <c r="C493" s="7" t="s">
        <v>1041</v>
      </c>
      <c r="D493" s="7" t="s">
        <v>924</v>
      </c>
      <c r="E493" s="6"/>
      <c r="F493" s="6"/>
      <c r="G493" s="6"/>
      <c r="H493" s="6"/>
      <c r="I493" s="6"/>
      <c r="J493" s="6"/>
      <c r="K493" s="6"/>
      <c r="L493" s="6"/>
      <c r="M493" s="93"/>
      <c r="N493" s="11"/>
      <c r="O493" s="11"/>
      <c r="P493" s="11"/>
      <c r="Q493" s="11"/>
      <c r="R493" s="11"/>
      <c r="S493" s="11"/>
      <c r="T493" s="11"/>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c r="BC493" s="11"/>
      <c r="BD493" s="11"/>
      <c r="BE493" s="11"/>
      <c r="BF493" s="11"/>
      <c r="BG493" s="11"/>
      <c r="BH493" s="11"/>
      <c r="BI493" s="11"/>
      <c r="BJ493" s="11"/>
      <c r="BK493" s="11"/>
      <c r="BL493" s="11"/>
      <c r="BM493" s="11"/>
      <c r="BN493" s="11"/>
      <c r="BO493" s="11"/>
      <c r="BP493" s="11"/>
      <c r="BQ493" s="11"/>
      <c r="BR493" s="11"/>
      <c r="BS493" s="11"/>
      <c r="BT493" s="11"/>
      <c r="BU493" s="11"/>
      <c r="BV493" s="11"/>
      <c r="BW493" s="11"/>
      <c r="BX493" s="11"/>
      <c r="BY493" s="11"/>
      <c r="BZ493" s="11"/>
      <c r="CA493" s="11"/>
      <c r="CB493" s="11"/>
      <c r="CC493" s="11"/>
      <c r="CD493" s="11"/>
      <c r="CE493" s="11"/>
      <c r="CF493" s="11"/>
      <c r="CG493" s="11"/>
      <c r="CH493" s="11"/>
      <c r="CI493" s="11"/>
      <c r="CJ493" s="11"/>
      <c r="CK493" s="11"/>
      <c r="CL493" s="11"/>
      <c r="CM493" s="11"/>
      <c r="CN493" s="11"/>
      <c r="CO493" s="11"/>
      <c r="CP493" s="11"/>
      <c r="CQ493" s="11"/>
      <c r="CR493" s="11"/>
      <c r="CS493" s="11"/>
      <c r="CT493" s="11"/>
      <c r="CU493" s="11"/>
      <c r="CV493" s="11"/>
    </row>
    <row r="494" spans="1:100" x14ac:dyDescent="0.55000000000000004">
      <c r="A494" s="30">
        <v>26</v>
      </c>
      <c r="B494" s="17" t="s">
        <v>494</v>
      </c>
      <c r="C494" s="7" t="s">
        <v>1042</v>
      </c>
      <c r="D494" s="7" t="s">
        <v>924</v>
      </c>
      <c r="E494" s="6"/>
      <c r="F494" s="6"/>
      <c r="G494" s="6"/>
      <c r="H494" s="6"/>
      <c r="I494" s="6"/>
      <c r="J494" s="6"/>
      <c r="K494" s="6"/>
      <c r="L494" s="6"/>
      <c r="M494" s="93"/>
      <c r="N494" s="11"/>
      <c r="O494" s="11"/>
      <c r="P494" s="11"/>
      <c r="Q494" s="11"/>
      <c r="R494" s="11"/>
      <c r="S494" s="11"/>
      <c r="T494" s="11"/>
      <c r="Z494" s="11"/>
      <c r="AA494" s="11"/>
      <c r="AB494" s="11"/>
      <c r="AC494" s="11"/>
      <c r="AD494" s="11"/>
      <c r="AE494" s="11"/>
      <c r="AF494" s="11"/>
      <c r="AG494" s="11"/>
      <c r="AH494" s="11"/>
      <c r="AI494" s="11"/>
      <c r="AJ494" s="11"/>
      <c r="AK494" s="11"/>
      <c r="AL494" s="11"/>
      <c r="AM494" s="11"/>
      <c r="AN494" s="11"/>
      <c r="AO494" s="11"/>
      <c r="AP494" s="11"/>
      <c r="AQ494" s="11"/>
      <c r="AR494" s="11"/>
      <c r="AS494" s="11"/>
      <c r="AT494" s="11"/>
      <c r="AU494" s="11"/>
      <c r="AV494" s="11"/>
      <c r="AW494" s="11"/>
      <c r="AX494" s="11"/>
      <c r="AY494" s="11"/>
      <c r="AZ494" s="11"/>
      <c r="BA494" s="11"/>
      <c r="BB494" s="11"/>
      <c r="BC494" s="11"/>
      <c r="BD494" s="11"/>
      <c r="BE494" s="11"/>
      <c r="BF494" s="11"/>
      <c r="BG494" s="11"/>
      <c r="BH494" s="11"/>
      <c r="BI494" s="11"/>
      <c r="BJ494" s="11"/>
      <c r="BK494" s="11"/>
      <c r="BL494" s="11"/>
      <c r="BM494" s="11"/>
      <c r="BN494" s="11"/>
      <c r="BO494" s="11"/>
      <c r="BP494" s="11"/>
      <c r="BQ494" s="11"/>
      <c r="BR494" s="11"/>
      <c r="BS494" s="11"/>
      <c r="BT494" s="11"/>
      <c r="BU494" s="11"/>
      <c r="BV494" s="11"/>
      <c r="BW494" s="11"/>
      <c r="BX494" s="11"/>
      <c r="BY494" s="11"/>
      <c r="BZ494" s="11"/>
      <c r="CA494" s="11"/>
      <c r="CB494" s="11"/>
      <c r="CC494" s="11"/>
      <c r="CD494" s="11"/>
      <c r="CE494" s="11"/>
      <c r="CF494" s="11"/>
      <c r="CG494" s="11"/>
      <c r="CH494" s="11"/>
      <c r="CI494" s="11"/>
      <c r="CJ494" s="11"/>
      <c r="CK494" s="11"/>
      <c r="CL494" s="11"/>
      <c r="CM494" s="11"/>
      <c r="CN494" s="11"/>
      <c r="CO494" s="11"/>
      <c r="CP494" s="11"/>
      <c r="CQ494" s="11"/>
      <c r="CR494" s="11"/>
      <c r="CS494" s="11"/>
      <c r="CT494" s="11"/>
      <c r="CU494" s="11"/>
      <c r="CV494" s="11"/>
    </row>
    <row r="495" spans="1:100" x14ac:dyDescent="0.55000000000000004">
      <c r="A495" s="30">
        <v>27</v>
      </c>
      <c r="B495" s="17" t="s">
        <v>1458</v>
      </c>
      <c r="C495" s="7" t="s">
        <v>1459</v>
      </c>
      <c r="D495" s="7" t="s">
        <v>924</v>
      </c>
      <c r="E495" s="6"/>
      <c r="F495" s="6"/>
      <c r="G495" s="6"/>
      <c r="H495" s="6"/>
      <c r="I495" s="6"/>
      <c r="J495" s="6"/>
      <c r="K495" s="6"/>
      <c r="L495" s="6"/>
      <c r="M495" s="93"/>
      <c r="N495" s="11"/>
      <c r="O495" s="11"/>
      <c r="P495" s="11"/>
      <c r="Q495" s="11"/>
      <c r="R495" s="11"/>
      <c r="S495" s="11"/>
      <c r="T495" s="11"/>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c r="BC495" s="11"/>
      <c r="BD495" s="11"/>
      <c r="BE495" s="11"/>
      <c r="BF495" s="11"/>
      <c r="BG495" s="11"/>
      <c r="BH495" s="11"/>
      <c r="BI495" s="11"/>
      <c r="BJ495" s="11"/>
      <c r="BK495" s="11"/>
      <c r="BL495" s="11"/>
      <c r="BM495" s="11"/>
      <c r="BN495" s="11"/>
      <c r="BO495" s="11"/>
      <c r="BP495" s="11"/>
      <c r="BQ495" s="11"/>
      <c r="BR495" s="11"/>
      <c r="BS495" s="11"/>
      <c r="BT495" s="11"/>
      <c r="BU495" s="11"/>
      <c r="BV495" s="11"/>
      <c r="BW495" s="11"/>
      <c r="BX495" s="11"/>
      <c r="BY495" s="11"/>
      <c r="BZ495" s="11"/>
      <c r="CA495" s="11"/>
      <c r="CB495" s="11"/>
      <c r="CC495" s="11"/>
      <c r="CD495" s="11"/>
      <c r="CE495" s="11"/>
      <c r="CF495" s="11"/>
      <c r="CG495" s="11"/>
      <c r="CH495" s="11"/>
      <c r="CI495" s="11"/>
      <c r="CJ495" s="11"/>
      <c r="CK495" s="11"/>
      <c r="CL495" s="11"/>
      <c r="CM495" s="11"/>
      <c r="CN495" s="11"/>
      <c r="CO495" s="11"/>
      <c r="CP495" s="11"/>
      <c r="CQ495" s="11"/>
      <c r="CR495" s="11"/>
      <c r="CS495" s="11"/>
      <c r="CT495" s="11"/>
      <c r="CU495" s="11"/>
      <c r="CV495" s="11"/>
    </row>
    <row r="496" spans="1:100" x14ac:dyDescent="0.55000000000000004">
      <c r="A496" s="30">
        <v>28</v>
      </c>
      <c r="B496" s="17" t="s">
        <v>495</v>
      </c>
      <c r="C496" s="7" t="s">
        <v>1043</v>
      </c>
      <c r="D496" s="7" t="s">
        <v>924</v>
      </c>
      <c r="E496" s="6"/>
      <c r="F496" s="6"/>
      <c r="G496" s="6"/>
      <c r="H496" s="6"/>
      <c r="I496" s="6"/>
      <c r="J496" s="6"/>
      <c r="K496" s="6"/>
      <c r="L496" s="6"/>
      <c r="M496" s="93"/>
      <c r="N496" s="11"/>
      <c r="O496" s="11"/>
      <c r="P496" s="11"/>
      <c r="Q496" s="11"/>
      <c r="R496" s="11"/>
      <c r="S496" s="11"/>
      <c r="T496" s="11"/>
      <c r="Z496" s="11"/>
      <c r="AA496" s="11"/>
      <c r="AB496" s="11"/>
      <c r="AC496" s="11"/>
      <c r="AD496" s="11"/>
      <c r="AE496" s="11"/>
      <c r="AF496" s="11"/>
      <c r="AG496" s="11"/>
      <c r="AH496" s="11"/>
      <c r="AI496" s="11"/>
      <c r="AJ496" s="11"/>
      <c r="AK496" s="11"/>
      <c r="AL496" s="11"/>
      <c r="AM496" s="11"/>
      <c r="AN496" s="11"/>
      <c r="AO496" s="11"/>
      <c r="AP496" s="11"/>
      <c r="AQ496" s="11"/>
      <c r="AR496" s="11"/>
      <c r="AS496" s="11"/>
      <c r="AT496" s="11"/>
      <c r="AU496" s="11"/>
      <c r="AV496" s="11"/>
      <c r="AW496" s="11"/>
      <c r="AX496" s="11"/>
      <c r="AY496" s="11"/>
      <c r="AZ496" s="11"/>
      <c r="BA496" s="11"/>
      <c r="BB496" s="11"/>
      <c r="BC496" s="11"/>
      <c r="BD496" s="11"/>
      <c r="BE496" s="11"/>
      <c r="BF496" s="11"/>
      <c r="BG496" s="11"/>
      <c r="BH496" s="11"/>
      <c r="BI496" s="11"/>
      <c r="BJ496" s="11"/>
      <c r="BK496" s="11"/>
      <c r="BL496" s="11"/>
      <c r="BM496" s="11"/>
      <c r="BN496" s="11"/>
      <c r="BO496" s="11"/>
      <c r="BP496" s="11"/>
      <c r="BQ496" s="11"/>
      <c r="BR496" s="11"/>
      <c r="BS496" s="11"/>
      <c r="BT496" s="11"/>
      <c r="BU496" s="11"/>
      <c r="BV496" s="11"/>
      <c r="BW496" s="11"/>
      <c r="BX496" s="11"/>
      <c r="BY496" s="11"/>
      <c r="BZ496" s="11"/>
      <c r="CA496" s="11"/>
      <c r="CB496" s="11"/>
      <c r="CC496" s="11"/>
      <c r="CD496" s="11"/>
      <c r="CE496" s="11"/>
      <c r="CF496" s="11"/>
      <c r="CG496" s="11"/>
      <c r="CH496" s="11"/>
      <c r="CI496" s="11"/>
      <c r="CJ496" s="11"/>
      <c r="CK496" s="11"/>
      <c r="CL496" s="11"/>
      <c r="CM496" s="11"/>
      <c r="CN496" s="11"/>
      <c r="CO496" s="11"/>
      <c r="CP496" s="11"/>
      <c r="CQ496" s="11"/>
      <c r="CR496" s="11"/>
      <c r="CS496" s="11"/>
      <c r="CT496" s="11"/>
      <c r="CU496" s="11"/>
      <c r="CV496" s="11"/>
    </row>
    <row r="497" spans="1:100" x14ac:dyDescent="0.55000000000000004">
      <c r="A497" s="30">
        <v>29</v>
      </c>
      <c r="B497" s="17" t="s">
        <v>496</v>
      </c>
      <c r="C497" s="7" t="s">
        <v>1044</v>
      </c>
      <c r="D497" s="7" t="s">
        <v>924</v>
      </c>
      <c r="E497" s="6"/>
      <c r="F497" s="6"/>
      <c r="G497" s="6"/>
      <c r="H497" s="6"/>
      <c r="I497" s="6"/>
      <c r="J497" s="6"/>
      <c r="K497" s="6"/>
      <c r="L497" s="6"/>
      <c r="M497" s="93"/>
      <c r="N497" s="11"/>
      <c r="O497" s="11"/>
      <c r="P497" s="11"/>
      <c r="Q497" s="11"/>
      <c r="R497" s="11"/>
      <c r="S497" s="11"/>
      <c r="T497" s="11"/>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c r="BC497" s="11"/>
      <c r="BD497" s="11"/>
      <c r="BE497" s="11"/>
      <c r="BF497" s="11"/>
      <c r="BG497" s="11"/>
      <c r="BH497" s="11"/>
      <c r="BI497" s="11"/>
      <c r="BJ497" s="11"/>
      <c r="BK497" s="11"/>
      <c r="BL497" s="11"/>
      <c r="BM497" s="11"/>
      <c r="BN497" s="11"/>
      <c r="BO497" s="11"/>
      <c r="BP497" s="11"/>
      <c r="BQ497" s="11"/>
      <c r="BR497" s="11"/>
      <c r="BS497" s="11"/>
      <c r="BT497" s="11"/>
      <c r="BU497" s="11"/>
      <c r="BV497" s="11"/>
      <c r="BW497" s="11"/>
      <c r="BX497" s="11"/>
      <c r="BY497" s="11"/>
      <c r="BZ497" s="11"/>
      <c r="CA497" s="11"/>
      <c r="CB497" s="11"/>
      <c r="CC497" s="11"/>
      <c r="CD497" s="11"/>
      <c r="CE497" s="11"/>
      <c r="CF497" s="11"/>
      <c r="CG497" s="11"/>
      <c r="CH497" s="11"/>
      <c r="CI497" s="11"/>
      <c r="CJ497" s="11"/>
      <c r="CK497" s="11"/>
      <c r="CL497" s="11"/>
      <c r="CM497" s="11"/>
      <c r="CN497" s="11"/>
      <c r="CO497" s="11"/>
      <c r="CP497" s="11"/>
      <c r="CQ497" s="11"/>
      <c r="CR497" s="11"/>
      <c r="CS497" s="11"/>
      <c r="CT497" s="11"/>
      <c r="CU497" s="11"/>
      <c r="CV497" s="11"/>
    </row>
    <row r="498" spans="1:100" x14ac:dyDescent="0.55000000000000004">
      <c r="A498" s="30">
        <v>30</v>
      </c>
      <c r="B498" s="101" t="s">
        <v>497</v>
      </c>
      <c r="C498" s="7" t="s">
        <v>1045</v>
      </c>
      <c r="D498" s="7" t="s">
        <v>924</v>
      </c>
      <c r="E498" s="6"/>
      <c r="F498" s="6"/>
      <c r="G498" s="6"/>
      <c r="H498" s="6"/>
      <c r="I498" s="6"/>
      <c r="J498" s="6"/>
      <c r="K498" s="6"/>
      <c r="L498" s="6"/>
      <c r="M498" s="93"/>
      <c r="N498" s="11"/>
      <c r="O498" s="11"/>
      <c r="P498" s="11"/>
      <c r="Q498" s="11"/>
      <c r="R498" s="11"/>
      <c r="S498" s="11"/>
      <c r="T498" s="11"/>
      <c r="Z498" s="11"/>
      <c r="AA498" s="11"/>
      <c r="AB498" s="11"/>
      <c r="AC498" s="11"/>
      <c r="AD498" s="11"/>
      <c r="AE498" s="11"/>
      <c r="AF498" s="11"/>
      <c r="AG498" s="11"/>
      <c r="AH498" s="11"/>
      <c r="AI498" s="11"/>
      <c r="AJ498" s="11"/>
      <c r="AK498" s="11"/>
      <c r="AL498" s="11"/>
      <c r="AM498" s="11"/>
      <c r="AN498" s="11"/>
      <c r="AO498" s="11"/>
      <c r="AP498" s="11"/>
      <c r="AQ498" s="11"/>
      <c r="AR498" s="11"/>
      <c r="AS498" s="11"/>
      <c r="AT498" s="11"/>
      <c r="AU498" s="11"/>
      <c r="AV498" s="11"/>
      <c r="AW498" s="11"/>
      <c r="AX498" s="11"/>
      <c r="AY498" s="11"/>
      <c r="AZ498" s="11"/>
      <c r="BA498" s="11"/>
      <c r="BB498" s="11"/>
      <c r="BC498" s="11"/>
      <c r="BD498" s="11"/>
      <c r="BE498" s="11"/>
      <c r="BF498" s="11"/>
      <c r="BG498" s="11"/>
      <c r="BH498" s="11"/>
      <c r="BI498" s="11"/>
      <c r="BJ498" s="11"/>
      <c r="BK498" s="11"/>
      <c r="BL498" s="11"/>
      <c r="BM498" s="11"/>
      <c r="BN498" s="11"/>
      <c r="BO498" s="11"/>
      <c r="BP498" s="11"/>
      <c r="BQ498" s="11"/>
      <c r="BR498" s="11"/>
      <c r="BS498" s="11"/>
      <c r="BT498" s="11"/>
      <c r="BU498" s="11"/>
      <c r="BV498" s="11"/>
      <c r="BW498" s="11"/>
      <c r="BX498" s="11"/>
      <c r="BY498" s="11"/>
      <c r="BZ498" s="11"/>
      <c r="CA498" s="11"/>
      <c r="CB498" s="11"/>
      <c r="CC498" s="11"/>
      <c r="CD498" s="11"/>
      <c r="CE498" s="11"/>
      <c r="CF498" s="11"/>
      <c r="CG498" s="11"/>
      <c r="CH498" s="11"/>
      <c r="CI498" s="11"/>
      <c r="CJ498" s="11"/>
      <c r="CK498" s="11"/>
      <c r="CL498" s="11"/>
      <c r="CM498" s="11"/>
      <c r="CN498" s="11"/>
      <c r="CO498" s="11"/>
      <c r="CP498" s="11"/>
      <c r="CQ498" s="11"/>
      <c r="CR498" s="11"/>
      <c r="CS498" s="11"/>
      <c r="CT498" s="11"/>
      <c r="CU498" s="11"/>
      <c r="CV498" s="11"/>
    </row>
    <row r="499" spans="1:100" x14ac:dyDescent="0.55000000000000004">
      <c r="A499" s="30">
        <v>31</v>
      </c>
      <c r="B499" s="17" t="s">
        <v>498</v>
      </c>
      <c r="C499" s="7" t="s">
        <v>1046</v>
      </c>
      <c r="D499" s="7" t="s">
        <v>924</v>
      </c>
      <c r="E499" s="6"/>
      <c r="F499" s="6"/>
      <c r="G499" s="6"/>
      <c r="H499" s="6"/>
      <c r="I499" s="6"/>
      <c r="J499" s="6"/>
      <c r="K499" s="6"/>
      <c r="L499" s="6"/>
      <c r="M499" s="93"/>
      <c r="N499" s="11"/>
      <c r="O499" s="11"/>
      <c r="P499" s="11"/>
      <c r="Q499" s="11"/>
      <c r="R499" s="11"/>
      <c r="S499" s="11"/>
      <c r="T499" s="11"/>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c r="BC499" s="11"/>
      <c r="BD499" s="11"/>
      <c r="BE499" s="11"/>
      <c r="BF499" s="11"/>
      <c r="BG499" s="11"/>
      <c r="BH499" s="11"/>
      <c r="BI499" s="11"/>
      <c r="BJ499" s="11"/>
      <c r="BK499" s="11"/>
      <c r="BL499" s="11"/>
      <c r="BM499" s="11"/>
      <c r="BN499" s="11"/>
      <c r="BO499" s="11"/>
      <c r="BP499" s="11"/>
      <c r="BQ499" s="11"/>
      <c r="BR499" s="11"/>
      <c r="BS499" s="11"/>
      <c r="BT499" s="11"/>
      <c r="BU499" s="11"/>
      <c r="BV499" s="11"/>
      <c r="BW499" s="11"/>
      <c r="BX499" s="11"/>
      <c r="BY499" s="11"/>
      <c r="BZ499" s="11"/>
      <c r="CA499" s="11"/>
      <c r="CB499" s="11"/>
      <c r="CC499" s="11"/>
      <c r="CD499" s="11"/>
      <c r="CE499" s="11"/>
      <c r="CF499" s="11"/>
      <c r="CG499" s="11"/>
      <c r="CH499" s="11"/>
      <c r="CI499" s="11"/>
      <c r="CJ499" s="11"/>
      <c r="CK499" s="11"/>
      <c r="CL499" s="11"/>
      <c r="CM499" s="11"/>
      <c r="CN499" s="11"/>
      <c r="CO499" s="11"/>
      <c r="CP499" s="11"/>
      <c r="CQ499" s="11"/>
      <c r="CR499" s="11"/>
      <c r="CS499" s="11"/>
      <c r="CT499" s="11"/>
      <c r="CU499" s="11"/>
      <c r="CV499" s="11"/>
    </row>
    <row r="500" spans="1:100" x14ac:dyDescent="0.55000000000000004">
      <c r="A500" s="30">
        <v>32</v>
      </c>
      <c r="B500" s="101" t="s">
        <v>499</v>
      </c>
      <c r="C500" s="7" t="s">
        <v>1047</v>
      </c>
      <c r="D500" s="7" t="s">
        <v>924</v>
      </c>
      <c r="E500" s="6"/>
      <c r="F500" s="6"/>
      <c r="G500" s="6"/>
      <c r="H500" s="6"/>
      <c r="I500" s="6"/>
      <c r="J500" s="6"/>
      <c r="K500" s="6"/>
      <c r="L500" s="6"/>
      <c r="M500" s="93"/>
      <c r="N500" s="11"/>
      <c r="O500" s="11"/>
      <c r="P500" s="11"/>
      <c r="Q500" s="11"/>
      <c r="R500" s="11"/>
      <c r="S500" s="11"/>
      <c r="T500" s="11"/>
      <c r="Z500" s="11"/>
      <c r="AA500" s="11"/>
      <c r="AB500" s="11"/>
      <c r="AC500" s="11"/>
      <c r="AD500" s="11"/>
      <c r="AE500" s="11"/>
      <c r="AF500" s="11"/>
      <c r="AG500" s="11"/>
      <c r="AH500" s="11"/>
      <c r="AI500" s="11"/>
      <c r="AJ500" s="11"/>
      <c r="AK500" s="11"/>
      <c r="AL500" s="11"/>
      <c r="AM500" s="11"/>
      <c r="AN500" s="11"/>
      <c r="AO500" s="11"/>
      <c r="AP500" s="11"/>
      <c r="AQ500" s="11"/>
      <c r="AR500" s="11"/>
      <c r="AS500" s="11"/>
      <c r="AT500" s="11"/>
      <c r="AU500" s="11"/>
      <c r="AV500" s="11"/>
      <c r="AW500" s="11"/>
      <c r="AX500" s="11"/>
      <c r="AY500" s="11"/>
      <c r="AZ500" s="11"/>
      <c r="BA500" s="11"/>
      <c r="BB500" s="11"/>
      <c r="BC500" s="11"/>
      <c r="BD500" s="11"/>
      <c r="BE500" s="11"/>
      <c r="BF500" s="11"/>
      <c r="BG500" s="11"/>
      <c r="BH500" s="11"/>
      <c r="BI500" s="11"/>
      <c r="BJ500" s="11"/>
      <c r="BK500" s="11"/>
      <c r="BL500" s="11"/>
      <c r="BM500" s="11"/>
      <c r="BN500" s="11"/>
      <c r="BO500" s="11"/>
      <c r="BP500" s="11"/>
      <c r="BQ500" s="11"/>
      <c r="BR500" s="11"/>
      <c r="BS500" s="11"/>
      <c r="BT500" s="11"/>
      <c r="BU500" s="11"/>
      <c r="BV500" s="11"/>
      <c r="BW500" s="11"/>
      <c r="BX500" s="11"/>
      <c r="BY500" s="11"/>
      <c r="BZ500" s="11"/>
      <c r="CA500" s="11"/>
      <c r="CB500" s="11"/>
      <c r="CC500" s="11"/>
      <c r="CD500" s="11"/>
      <c r="CE500" s="11"/>
      <c r="CF500" s="11"/>
      <c r="CG500" s="11"/>
      <c r="CH500" s="11"/>
      <c r="CI500" s="11"/>
      <c r="CJ500" s="11"/>
      <c r="CK500" s="11"/>
      <c r="CL500" s="11"/>
      <c r="CM500" s="11"/>
      <c r="CN500" s="11"/>
      <c r="CO500" s="11"/>
      <c r="CP500" s="11"/>
      <c r="CQ500" s="11"/>
      <c r="CR500" s="11"/>
      <c r="CS500" s="11"/>
      <c r="CT500" s="11"/>
      <c r="CU500" s="11"/>
      <c r="CV500" s="11"/>
    </row>
    <row r="501" spans="1:100" x14ac:dyDescent="0.55000000000000004">
      <c r="A501" s="30">
        <v>33</v>
      </c>
      <c r="B501" s="101" t="s">
        <v>500</v>
      </c>
      <c r="C501" s="7" t="s">
        <v>1048</v>
      </c>
      <c r="D501" s="7" t="s">
        <v>924</v>
      </c>
      <c r="E501" s="6"/>
      <c r="F501" s="6"/>
      <c r="G501" s="6"/>
      <c r="H501" s="6"/>
      <c r="I501" s="6"/>
      <c r="J501" s="6"/>
      <c r="K501" s="6"/>
      <c r="L501" s="6"/>
      <c r="M501" s="93"/>
      <c r="N501" s="11"/>
      <c r="O501" s="11"/>
      <c r="P501" s="11"/>
      <c r="Q501" s="11"/>
      <c r="R501" s="11"/>
      <c r="S501" s="11"/>
      <c r="T501" s="11"/>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c r="BC501" s="11"/>
      <c r="BD501" s="11"/>
      <c r="BE501" s="11"/>
      <c r="BF501" s="11"/>
      <c r="BG501" s="11"/>
      <c r="BH501" s="11"/>
      <c r="BI501" s="11"/>
      <c r="BJ501" s="11"/>
      <c r="BK501" s="11"/>
      <c r="BL501" s="11"/>
      <c r="BM501" s="11"/>
      <c r="BN501" s="11"/>
      <c r="BO501" s="11"/>
      <c r="BP501" s="11"/>
      <c r="BQ501" s="11"/>
      <c r="BR501" s="11"/>
      <c r="BS501" s="11"/>
      <c r="BT501" s="11"/>
      <c r="BU501" s="11"/>
      <c r="BV501" s="11"/>
      <c r="BW501" s="11"/>
      <c r="BX501" s="11"/>
      <c r="BY501" s="11"/>
      <c r="BZ501" s="11"/>
      <c r="CA501" s="11"/>
      <c r="CB501" s="11"/>
      <c r="CC501" s="11"/>
      <c r="CD501" s="11"/>
      <c r="CE501" s="11"/>
      <c r="CF501" s="11"/>
      <c r="CG501" s="11"/>
      <c r="CH501" s="11"/>
      <c r="CI501" s="11"/>
      <c r="CJ501" s="11"/>
      <c r="CK501" s="11"/>
      <c r="CL501" s="11"/>
      <c r="CM501" s="11"/>
      <c r="CN501" s="11"/>
      <c r="CO501" s="11"/>
      <c r="CP501" s="11"/>
      <c r="CQ501" s="11"/>
      <c r="CR501" s="11"/>
      <c r="CS501" s="11"/>
      <c r="CT501" s="11"/>
      <c r="CU501" s="11"/>
      <c r="CV501" s="11"/>
    </row>
    <row r="502" spans="1:100" x14ac:dyDescent="0.55000000000000004">
      <c r="A502" s="30">
        <v>34</v>
      </c>
      <c r="B502" s="101" t="s">
        <v>501</v>
      </c>
      <c r="C502" s="7" t="s">
        <v>1049</v>
      </c>
      <c r="D502" s="7" t="s">
        <v>924</v>
      </c>
      <c r="E502" s="6"/>
      <c r="F502" s="6"/>
      <c r="G502" s="6"/>
      <c r="H502" s="6"/>
      <c r="I502" s="6"/>
      <c r="J502" s="6"/>
      <c r="K502" s="6"/>
      <c r="L502" s="6"/>
      <c r="M502" s="93"/>
      <c r="N502" s="11"/>
      <c r="O502" s="11"/>
      <c r="P502" s="11"/>
      <c r="Q502" s="11"/>
      <c r="R502" s="11"/>
      <c r="S502" s="11"/>
      <c r="T502" s="11"/>
      <c r="Z502" s="11"/>
      <c r="AA502" s="11"/>
      <c r="AB502" s="11"/>
      <c r="AC502" s="11"/>
      <c r="AD502" s="11"/>
      <c r="AE502" s="11"/>
      <c r="AF502" s="11"/>
      <c r="AG502" s="11"/>
      <c r="AH502" s="11"/>
      <c r="AI502" s="11"/>
      <c r="AJ502" s="11"/>
      <c r="AK502" s="11"/>
      <c r="AL502" s="11"/>
      <c r="AM502" s="11"/>
      <c r="AN502" s="11"/>
      <c r="AO502" s="11"/>
      <c r="AP502" s="11"/>
      <c r="AQ502" s="11"/>
      <c r="AR502" s="11"/>
      <c r="AS502" s="11"/>
      <c r="AT502" s="11"/>
      <c r="AU502" s="11"/>
      <c r="AV502" s="11"/>
      <c r="AW502" s="11"/>
      <c r="AX502" s="11"/>
      <c r="AY502" s="11"/>
      <c r="AZ502" s="11"/>
      <c r="BA502" s="11"/>
      <c r="BB502" s="11"/>
      <c r="BC502" s="11"/>
      <c r="BD502" s="11"/>
      <c r="BE502" s="11"/>
      <c r="BF502" s="11"/>
      <c r="BG502" s="11"/>
      <c r="BH502" s="11"/>
      <c r="BI502" s="11"/>
      <c r="BJ502" s="11"/>
      <c r="BK502" s="11"/>
      <c r="BL502" s="11"/>
      <c r="BM502" s="11"/>
      <c r="BN502" s="11"/>
      <c r="BO502" s="11"/>
      <c r="BP502" s="11"/>
      <c r="BQ502" s="11"/>
      <c r="BR502" s="11"/>
      <c r="BS502" s="11"/>
      <c r="BT502" s="11"/>
      <c r="BU502" s="11"/>
      <c r="BV502" s="11"/>
      <c r="BW502" s="11"/>
      <c r="BX502" s="11"/>
      <c r="BY502" s="11"/>
      <c r="BZ502" s="11"/>
      <c r="CA502" s="11"/>
      <c r="CB502" s="11"/>
      <c r="CC502" s="11"/>
      <c r="CD502" s="11"/>
      <c r="CE502" s="11"/>
      <c r="CF502" s="11"/>
      <c r="CG502" s="11"/>
      <c r="CH502" s="11"/>
      <c r="CI502" s="11"/>
      <c r="CJ502" s="11"/>
      <c r="CK502" s="11"/>
      <c r="CL502" s="11"/>
      <c r="CM502" s="11"/>
      <c r="CN502" s="11"/>
      <c r="CO502" s="11"/>
      <c r="CP502" s="11"/>
      <c r="CQ502" s="11"/>
      <c r="CR502" s="11"/>
      <c r="CS502" s="11"/>
      <c r="CT502" s="11"/>
      <c r="CU502" s="11"/>
      <c r="CV502" s="11"/>
    </row>
    <row r="503" spans="1:100" x14ac:dyDescent="0.55000000000000004">
      <c r="A503" s="30">
        <v>35</v>
      </c>
      <c r="B503" s="101" t="s">
        <v>502</v>
      </c>
      <c r="C503" s="40" t="s">
        <v>1050</v>
      </c>
      <c r="D503" s="7" t="s">
        <v>924</v>
      </c>
      <c r="E503" s="6"/>
      <c r="F503" s="6"/>
      <c r="G503" s="6"/>
      <c r="H503" s="6"/>
      <c r="I503" s="6"/>
      <c r="J503" s="6"/>
      <c r="K503" s="6"/>
      <c r="L503" s="6"/>
      <c r="M503" s="93"/>
      <c r="N503" s="11"/>
      <c r="O503" s="11"/>
      <c r="P503" s="11"/>
      <c r="Q503" s="11"/>
      <c r="R503" s="11"/>
      <c r="S503" s="11"/>
      <c r="T503" s="11"/>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c r="BC503" s="11"/>
      <c r="BD503" s="11"/>
      <c r="BE503" s="11"/>
      <c r="BF503" s="11"/>
      <c r="BG503" s="11"/>
      <c r="BH503" s="11"/>
      <c r="BI503" s="11"/>
      <c r="BJ503" s="11"/>
      <c r="BK503" s="11"/>
      <c r="BL503" s="11"/>
      <c r="BM503" s="11"/>
      <c r="BN503" s="11"/>
      <c r="BO503" s="11"/>
      <c r="BP503" s="11"/>
      <c r="BQ503" s="11"/>
      <c r="BR503" s="11"/>
      <c r="BS503" s="11"/>
      <c r="BT503" s="11"/>
      <c r="BU503" s="11"/>
      <c r="BV503" s="11"/>
      <c r="BW503" s="11"/>
      <c r="BX503" s="11"/>
      <c r="BY503" s="11"/>
      <c r="BZ503" s="11"/>
      <c r="CA503" s="11"/>
      <c r="CB503" s="11"/>
      <c r="CC503" s="11"/>
      <c r="CD503" s="11"/>
      <c r="CE503" s="11"/>
      <c r="CF503" s="11"/>
      <c r="CG503" s="11"/>
      <c r="CH503" s="11"/>
      <c r="CI503" s="11"/>
      <c r="CJ503" s="11"/>
      <c r="CK503" s="11"/>
      <c r="CL503" s="11"/>
      <c r="CM503" s="11"/>
      <c r="CN503" s="11"/>
      <c r="CO503" s="11"/>
      <c r="CP503" s="11"/>
      <c r="CQ503" s="11"/>
      <c r="CR503" s="11"/>
      <c r="CS503" s="11"/>
      <c r="CT503" s="11"/>
      <c r="CU503" s="11"/>
      <c r="CV503" s="11"/>
    </row>
    <row r="504" spans="1:100" x14ac:dyDescent="0.55000000000000004">
      <c r="A504" s="30">
        <v>36</v>
      </c>
      <c r="B504" s="101" t="s">
        <v>503</v>
      </c>
      <c r="C504" s="7" t="s">
        <v>1051</v>
      </c>
      <c r="D504" s="7" t="s">
        <v>924</v>
      </c>
      <c r="E504" s="6"/>
      <c r="F504" s="6"/>
      <c r="G504" s="6"/>
      <c r="H504" s="6"/>
      <c r="I504" s="6"/>
      <c r="J504" s="6"/>
      <c r="K504" s="6"/>
      <c r="L504" s="6"/>
      <c r="M504" s="93"/>
      <c r="N504" s="11"/>
      <c r="O504" s="11"/>
      <c r="P504" s="11"/>
      <c r="Q504" s="11"/>
      <c r="R504" s="11"/>
      <c r="S504" s="11"/>
      <c r="T504" s="11"/>
      <c r="Z504" s="11"/>
      <c r="AA504" s="11"/>
      <c r="AB504" s="11"/>
      <c r="AC504" s="11"/>
      <c r="AD504" s="11"/>
      <c r="AE504" s="11"/>
      <c r="AF504" s="11"/>
      <c r="AG504" s="11"/>
      <c r="AH504" s="11"/>
      <c r="AI504" s="11"/>
      <c r="AJ504" s="11"/>
      <c r="AK504" s="11"/>
      <c r="AL504" s="11"/>
      <c r="AM504" s="11"/>
      <c r="AN504" s="11"/>
      <c r="AO504" s="11"/>
      <c r="AP504" s="11"/>
      <c r="AQ504" s="11"/>
      <c r="AR504" s="11"/>
      <c r="AS504" s="11"/>
      <c r="AT504" s="11"/>
      <c r="AU504" s="11"/>
      <c r="AV504" s="11"/>
      <c r="AW504" s="11"/>
      <c r="AX504" s="11"/>
      <c r="AY504" s="11"/>
      <c r="AZ504" s="11"/>
      <c r="BA504" s="11"/>
      <c r="BB504" s="11"/>
      <c r="BC504" s="11"/>
      <c r="BD504" s="11"/>
      <c r="BE504" s="11"/>
      <c r="BF504" s="11"/>
      <c r="BG504" s="11"/>
      <c r="BH504" s="11"/>
      <c r="BI504" s="11"/>
      <c r="BJ504" s="11"/>
      <c r="BK504" s="11"/>
      <c r="BL504" s="11"/>
      <c r="BM504" s="11"/>
      <c r="BN504" s="11"/>
      <c r="BO504" s="11"/>
      <c r="BP504" s="11"/>
      <c r="BQ504" s="11"/>
      <c r="BR504" s="11"/>
      <c r="BS504" s="11"/>
      <c r="BT504" s="11"/>
      <c r="BU504" s="11"/>
      <c r="BV504" s="11"/>
      <c r="BW504" s="11"/>
      <c r="BX504" s="11"/>
      <c r="BY504" s="11"/>
      <c r="BZ504" s="11"/>
      <c r="CA504" s="11"/>
      <c r="CB504" s="11"/>
      <c r="CC504" s="11"/>
      <c r="CD504" s="11"/>
      <c r="CE504" s="11"/>
      <c r="CF504" s="11"/>
      <c r="CG504" s="11"/>
      <c r="CH504" s="11"/>
      <c r="CI504" s="11"/>
      <c r="CJ504" s="11"/>
      <c r="CK504" s="11"/>
      <c r="CL504" s="11"/>
      <c r="CM504" s="11"/>
      <c r="CN504" s="11"/>
      <c r="CO504" s="11"/>
      <c r="CP504" s="11"/>
      <c r="CQ504" s="11"/>
      <c r="CR504" s="11"/>
      <c r="CS504" s="11"/>
      <c r="CT504" s="11"/>
      <c r="CU504" s="11"/>
      <c r="CV504" s="11"/>
    </row>
    <row r="505" spans="1:100" x14ac:dyDescent="0.55000000000000004">
      <c r="A505" s="30">
        <v>37</v>
      </c>
      <c r="B505" s="101" t="s">
        <v>504</v>
      </c>
      <c r="C505" s="7" t="s">
        <v>1052</v>
      </c>
      <c r="D505" s="7" t="s">
        <v>924</v>
      </c>
      <c r="E505" s="6"/>
      <c r="F505" s="6"/>
      <c r="G505" s="6"/>
      <c r="H505" s="6"/>
      <c r="I505" s="6"/>
      <c r="J505" s="6"/>
      <c r="K505" s="6"/>
      <c r="L505" s="6"/>
      <c r="M505" s="93"/>
      <c r="N505" s="11"/>
      <c r="O505" s="11"/>
      <c r="P505" s="11"/>
      <c r="Q505" s="11"/>
      <c r="R505" s="11"/>
      <c r="S505" s="11"/>
      <c r="T505" s="11"/>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c r="BC505" s="11"/>
      <c r="BD505" s="11"/>
      <c r="BE505" s="11"/>
      <c r="BF505" s="11"/>
      <c r="BG505" s="11"/>
      <c r="BH505" s="11"/>
      <c r="BI505" s="11"/>
      <c r="BJ505" s="11"/>
      <c r="BK505" s="11"/>
      <c r="BL505" s="11"/>
      <c r="BM505" s="11"/>
      <c r="BN505" s="11"/>
      <c r="BO505" s="11"/>
      <c r="BP505" s="11"/>
      <c r="BQ505" s="11"/>
      <c r="BR505" s="11"/>
      <c r="BS505" s="11"/>
      <c r="BT505" s="11"/>
      <c r="BU505" s="11"/>
      <c r="BV505" s="11"/>
      <c r="BW505" s="11"/>
      <c r="BX505" s="11"/>
      <c r="BY505" s="11"/>
      <c r="BZ505" s="11"/>
      <c r="CA505" s="11"/>
      <c r="CB505" s="11"/>
      <c r="CC505" s="11"/>
      <c r="CD505" s="11"/>
      <c r="CE505" s="11"/>
      <c r="CF505" s="11"/>
      <c r="CG505" s="11"/>
      <c r="CH505" s="11"/>
      <c r="CI505" s="11"/>
      <c r="CJ505" s="11"/>
      <c r="CK505" s="11"/>
      <c r="CL505" s="11"/>
      <c r="CM505" s="11"/>
      <c r="CN505" s="11"/>
      <c r="CO505" s="11"/>
      <c r="CP505" s="11"/>
      <c r="CQ505" s="11"/>
      <c r="CR505" s="11"/>
      <c r="CS505" s="11"/>
      <c r="CT505" s="11"/>
      <c r="CU505" s="11"/>
      <c r="CV505" s="11"/>
    </row>
    <row r="506" spans="1:100" x14ac:dyDescent="0.55000000000000004">
      <c r="A506" s="30">
        <v>38</v>
      </c>
      <c r="B506" s="101" t="s">
        <v>505</v>
      </c>
      <c r="C506" s="7" t="s">
        <v>1053</v>
      </c>
      <c r="D506" s="7" t="s">
        <v>924</v>
      </c>
      <c r="E506" s="6"/>
      <c r="F506" s="6"/>
      <c r="G506" s="6"/>
      <c r="H506" s="6"/>
      <c r="I506" s="6"/>
      <c r="J506" s="6"/>
      <c r="K506" s="6"/>
      <c r="L506" s="6"/>
      <c r="M506" s="93"/>
      <c r="N506" s="11"/>
      <c r="O506" s="11"/>
      <c r="P506" s="11"/>
      <c r="Q506" s="11"/>
      <c r="R506" s="11"/>
      <c r="S506" s="11"/>
      <c r="T506" s="11"/>
      <c r="Z506" s="11"/>
      <c r="AA506" s="11"/>
      <c r="AB506" s="11"/>
      <c r="AC506" s="11"/>
      <c r="AD506" s="11"/>
      <c r="AE506" s="11"/>
      <c r="AF506" s="11"/>
      <c r="AG506" s="11"/>
      <c r="AH506" s="11"/>
      <c r="AI506" s="11"/>
      <c r="AJ506" s="11"/>
      <c r="AK506" s="11"/>
      <c r="AL506" s="11"/>
      <c r="AM506" s="11"/>
      <c r="AN506" s="11"/>
      <c r="AO506" s="11"/>
      <c r="AP506" s="11"/>
      <c r="AQ506" s="11"/>
      <c r="AR506" s="11"/>
      <c r="AS506" s="11"/>
      <c r="AT506" s="11"/>
      <c r="AU506" s="11"/>
      <c r="AV506" s="11"/>
      <c r="AW506" s="11"/>
      <c r="AX506" s="11"/>
      <c r="AY506" s="11"/>
      <c r="AZ506" s="11"/>
      <c r="BA506" s="11"/>
      <c r="BB506" s="11"/>
      <c r="BC506" s="11"/>
      <c r="BD506" s="11"/>
      <c r="BE506" s="11"/>
      <c r="BF506" s="11"/>
      <c r="BG506" s="11"/>
      <c r="BH506" s="11"/>
      <c r="BI506" s="11"/>
      <c r="BJ506" s="11"/>
      <c r="BK506" s="11"/>
      <c r="BL506" s="11"/>
      <c r="BM506" s="11"/>
      <c r="BN506" s="11"/>
      <c r="BO506" s="11"/>
      <c r="BP506" s="11"/>
      <c r="BQ506" s="11"/>
      <c r="BR506" s="11"/>
      <c r="BS506" s="11"/>
      <c r="BT506" s="11"/>
      <c r="BU506" s="11"/>
      <c r="BV506" s="11"/>
      <c r="BW506" s="11"/>
      <c r="BX506" s="11"/>
      <c r="BY506" s="11"/>
      <c r="BZ506" s="11"/>
      <c r="CA506" s="11"/>
      <c r="CB506" s="11"/>
      <c r="CC506" s="11"/>
      <c r="CD506" s="11"/>
      <c r="CE506" s="11"/>
      <c r="CF506" s="11"/>
      <c r="CG506" s="11"/>
      <c r="CH506" s="11"/>
      <c r="CI506" s="11"/>
      <c r="CJ506" s="11"/>
      <c r="CK506" s="11"/>
      <c r="CL506" s="11"/>
      <c r="CM506" s="11"/>
      <c r="CN506" s="11"/>
      <c r="CO506" s="11"/>
      <c r="CP506" s="11"/>
      <c r="CQ506" s="11"/>
      <c r="CR506" s="11"/>
      <c r="CS506" s="11"/>
      <c r="CT506" s="11"/>
      <c r="CU506" s="11"/>
      <c r="CV506" s="11"/>
    </row>
    <row r="507" spans="1:100" x14ac:dyDescent="0.55000000000000004">
      <c r="A507" s="30">
        <v>39</v>
      </c>
      <c r="B507" s="101" t="s">
        <v>506</v>
      </c>
      <c r="C507" s="7" t="s">
        <v>1054</v>
      </c>
      <c r="D507" s="7" t="s">
        <v>924</v>
      </c>
      <c r="E507" s="6"/>
      <c r="F507" s="6"/>
      <c r="G507" s="6"/>
      <c r="H507" s="6"/>
      <c r="I507" s="6"/>
      <c r="J507" s="6"/>
      <c r="K507" s="6"/>
      <c r="L507" s="6"/>
      <c r="M507" s="93"/>
      <c r="N507" s="11"/>
      <c r="O507" s="11"/>
      <c r="P507" s="11"/>
      <c r="Q507" s="11"/>
      <c r="R507" s="11"/>
      <c r="S507" s="11"/>
      <c r="T507" s="11"/>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c r="BC507" s="11"/>
      <c r="BD507" s="11"/>
      <c r="BE507" s="11"/>
      <c r="BF507" s="11"/>
      <c r="BG507" s="11"/>
      <c r="BH507" s="11"/>
      <c r="BI507" s="11"/>
      <c r="BJ507" s="11"/>
      <c r="BK507" s="11"/>
      <c r="BL507" s="11"/>
      <c r="BM507" s="11"/>
      <c r="BN507" s="11"/>
      <c r="BO507" s="11"/>
      <c r="BP507" s="11"/>
      <c r="BQ507" s="11"/>
      <c r="BR507" s="11"/>
      <c r="BS507" s="11"/>
      <c r="BT507" s="11"/>
      <c r="BU507" s="11"/>
      <c r="BV507" s="11"/>
      <c r="BW507" s="11"/>
      <c r="BX507" s="11"/>
      <c r="BY507" s="11"/>
      <c r="BZ507" s="11"/>
      <c r="CA507" s="11"/>
      <c r="CB507" s="11"/>
      <c r="CC507" s="11"/>
      <c r="CD507" s="11"/>
      <c r="CE507" s="11"/>
      <c r="CF507" s="11"/>
      <c r="CG507" s="11"/>
      <c r="CH507" s="11"/>
      <c r="CI507" s="11"/>
      <c r="CJ507" s="11"/>
      <c r="CK507" s="11"/>
      <c r="CL507" s="11"/>
      <c r="CM507" s="11"/>
      <c r="CN507" s="11"/>
      <c r="CO507" s="11"/>
      <c r="CP507" s="11"/>
      <c r="CQ507" s="11"/>
      <c r="CR507" s="11"/>
      <c r="CS507" s="11"/>
      <c r="CT507" s="11"/>
      <c r="CU507" s="11"/>
      <c r="CV507" s="11"/>
    </row>
    <row r="508" spans="1:100" x14ac:dyDescent="0.55000000000000004">
      <c r="A508" s="30">
        <v>40</v>
      </c>
      <c r="B508" s="101" t="s">
        <v>507</v>
      </c>
      <c r="C508" s="7" t="s">
        <v>1055</v>
      </c>
      <c r="D508" s="7" t="s">
        <v>924</v>
      </c>
      <c r="F508" s="100"/>
      <c r="G508" s="6"/>
      <c r="H508" s="6"/>
      <c r="I508" s="6"/>
      <c r="J508" s="6"/>
      <c r="K508" s="6"/>
      <c r="L508" s="6"/>
      <c r="M508" s="93"/>
      <c r="N508" s="11"/>
      <c r="O508" s="11"/>
      <c r="P508" s="11"/>
      <c r="Q508" s="11"/>
      <c r="R508" s="11"/>
      <c r="S508" s="11"/>
      <c r="T508" s="11"/>
      <c r="Z508" s="11"/>
      <c r="AA508" s="11"/>
      <c r="AB508" s="11"/>
      <c r="AC508" s="11"/>
      <c r="AD508" s="11"/>
      <c r="AE508" s="11"/>
      <c r="AF508" s="11"/>
      <c r="AG508" s="11"/>
      <c r="AH508" s="11"/>
      <c r="AI508" s="11"/>
      <c r="AJ508" s="11"/>
      <c r="AK508" s="11"/>
      <c r="AL508" s="11"/>
      <c r="AM508" s="11"/>
      <c r="AN508" s="11"/>
      <c r="AO508" s="11"/>
      <c r="AP508" s="11"/>
      <c r="AQ508" s="11"/>
      <c r="AR508" s="11"/>
      <c r="AS508" s="11"/>
      <c r="AT508" s="11"/>
      <c r="AU508" s="11"/>
      <c r="AV508" s="11"/>
      <c r="AW508" s="11"/>
      <c r="AX508" s="11"/>
      <c r="AY508" s="11"/>
      <c r="AZ508" s="11"/>
      <c r="BA508" s="11"/>
      <c r="BB508" s="11"/>
      <c r="BC508" s="11"/>
      <c r="BD508" s="11"/>
      <c r="BE508" s="11"/>
      <c r="BF508" s="11"/>
      <c r="BG508" s="11"/>
      <c r="BH508" s="11"/>
      <c r="BI508" s="11"/>
      <c r="BJ508" s="11"/>
      <c r="BK508" s="11"/>
      <c r="BL508" s="11"/>
      <c r="BM508" s="11"/>
      <c r="BN508" s="11"/>
      <c r="BO508" s="11"/>
      <c r="BP508" s="11"/>
      <c r="BQ508" s="11"/>
      <c r="BR508" s="11"/>
      <c r="BS508" s="11"/>
      <c r="BT508" s="11"/>
      <c r="BU508" s="11"/>
      <c r="BV508" s="11"/>
      <c r="BW508" s="11"/>
      <c r="BX508" s="11"/>
      <c r="BY508" s="11"/>
      <c r="BZ508" s="11"/>
      <c r="CA508" s="11"/>
      <c r="CB508" s="11"/>
      <c r="CC508" s="11"/>
      <c r="CD508" s="11"/>
      <c r="CE508" s="11"/>
      <c r="CF508" s="11"/>
      <c r="CG508" s="11"/>
      <c r="CH508" s="11"/>
      <c r="CI508" s="11"/>
      <c r="CJ508" s="11"/>
      <c r="CK508" s="11"/>
      <c r="CL508" s="11"/>
      <c r="CM508" s="11"/>
      <c r="CN508" s="11"/>
      <c r="CO508" s="11"/>
      <c r="CP508" s="11"/>
      <c r="CQ508" s="11"/>
      <c r="CR508" s="11"/>
      <c r="CS508" s="11"/>
      <c r="CT508" s="11"/>
      <c r="CU508" s="11"/>
      <c r="CV508" s="11"/>
    </row>
    <row r="509" spans="1:100" x14ac:dyDescent="0.55000000000000004">
      <c r="A509" s="30">
        <v>41</v>
      </c>
      <c r="B509" s="17" t="s">
        <v>508</v>
      </c>
      <c r="C509" s="7" t="s">
        <v>1056</v>
      </c>
      <c r="D509" s="7" t="s">
        <v>924</v>
      </c>
      <c r="F509" s="100"/>
      <c r="G509" s="6"/>
      <c r="H509" s="6"/>
      <c r="I509" s="6"/>
      <c r="J509" s="6"/>
      <c r="K509" s="6"/>
      <c r="L509" s="6"/>
      <c r="M509" s="93"/>
      <c r="N509" s="11"/>
      <c r="O509" s="11"/>
      <c r="P509" s="11"/>
      <c r="Q509" s="11"/>
      <c r="R509" s="11"/>
      <c r="S509" s="11"/>
      <c r="T509" s="11"/>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c r="BC509" s="11"/>
      <c r="BD509" s="11"/>
      <c r="BE509" s="11"/>
      <c r="BF509" s="11"/>
      <c r="BG509" s="11"/>
      <c r="BH509" s="11"/>
      <c r="BI509" s="11"/>
      <c r="BJ509" s="11"/>
      <c r="BK509" s="11"/>
      <c r="BL509" s="11"/>
      <c r="BM509" s="11"/>
      <c r="BN509" s="11"/>
      <c r="BO509" s="11"/>
      <c r="BP509" s="11"/>
      <c r="BQ509" s="11"/>
      <c r="BR509" s="11"/>
      <c r="BS509" s="11"/>
      <c r="BT509" s="11"/>
      <c r="BU509" s="11"/>
      <c r="BV509" s="11"/>
      <c r="BW509" s="11"/>
      <c r="BX509" s="11"/>
      <c r="BY509" s="11"/>
      <c r="BZ509" s="11"/>
      <c r="CA509" s="11"/>
      <c r="CB509" s="11"/>
      <c r="CC509" s="11"/>
      <c r="CD509" s="11"/>
      <c r="CE509" s="11"/>
      <c r="CF509" s="11"/>
      <c r="CG509" s="11"/>
      <c r="CH509" s="11"/>
      <c r="CI509" s="11"/>
      <c r="CJ509" s="11"/>
      <c r="CK509" s="11"/>
      <c r="CL509" s="11"/>
      <c r="CM509" s="11"/>
      <c r="CN509" s="11"/>
      <c r="CO509" s="11"/>
      <c r="CP509" s="11"/>
      <c r="CQ509" s="11"/>
      <c r="CR509" s="11"/>
      <c r="CS509" s="11"/>
      <c r="CT509" s="11"/>
      <c r="CU509" s="11"/>
      <c r="CV509" s="11"/>
    </row>
    <row r="510" spans="1:100" x14ac:dyDescent="0.55000000000000004">
      <c r="A510" s="30">
        <v>42</v>
      </c>
      <c r="B510" s="17" t="s">
        <v>509</v>
      </c>
      <c r="C510" s="7" t="s">
        <v>1057</v>
      </c>
      <c r="D510" s="7" t="s">
        <v>924</v>
      </c>
      <c r="E510" s="6"/>
      <c r="F510" s="6"/>
      <c r="G510" s="6"/>
      <c r="H510" s="6"/>
      <c r="I510" s="6"/>
      <c r="J510" s="6"/>
      <c r="K510" s="6"/>
      <c r="L510" s="6"/>
      <c r="M510" s="93"/>
      <c r="N510" s="11"/>
      <c r="O510" s="11"/>
      <c r="P510" s="11"/>
      <c r="Q510" s="11"/>
      <c r="R510" s="11"/>
      <c r="S510" s="11"/>
      <c r="T510" s="11"/>
      <c r="Z510" s="11"/>
      <c r="AA510" s="11"/>
      <c r="AB510" s="11"/>
      <c r="AC510" s="11"/>
      <c r="AD510" s="11"/>
      <c r="AE510" s="11"/>
      <c r="AF510" s="11"/>
      <c r="AG510" s="11"/>
      <c r="AH510" s="11"/>
      <c r="AI510" s="11"/>
      <c r="AJ510" s="11"/>
      <c r="AK510" s="11"/>
      <c r="AL510" s="11"/>
      <c r="AM510" s="11"/>
      <c r="AN510" s="11"/>
      <c r="AO510" s="11"/>
      <c r="AP510" s="11"/>
      <c r="AQ510" s="11"/>
      <c r="AR510" s="11"/>
      <c r="AS510" s="11"/>
      <c r="AT510" s="11"/>
      <c r="AU510" s="11"/>
      <c r="AV510" s="11"/>
      <c r="AW510" s="11"/>
      <c r="AX510" s="11"/>
      <c r="AY510" s="11"/>
      <c r="AZ510" s="11"/>
      <c r="BA510" s="11"/>
      <c r="BB510" s="11"/>
      <c r="BC510" s="11"/>
      <c r="BD510" s="11"/>
      <c r="BE510" s="11"/>
      <c r="BF510" s="11"/>
      <c r="BG510" s="11"/>
      <c r="BH510" s="11"/>
      <c r="BI510" s="11"/>
      <c r="BJ510" s="11"/>
      <c r="BK510" s="11"/>
      <c r="BL510" s="11"/>
      <c r="BM510" s="11"/>
      <c r="BN510" s="11"/>
      <c r="BO510" s="11"/>
      <c r="BP510" s="11"/>
      <c r="BQ510" s="11"/>
      <c r="BR510" s="11"/>
      <c r="BS510" s="11"/>
      <c r="BT510" s="11"/>
      <c r="BU510" s="11"/>
      <c r="BV510" s="11"/>
      <c r="BW510" s="11"/>
      <c r="BX510" s="11"/>
      <c r="BY510" s="11"/>
      <c r="BZ510" s="11"/>
      <c r="CA510" s="11"/>
      <c r="CB510" s="11"/>
      <c r="CC510" s="11"/>
      <c r="CD510" s="11"/>
      <c r="CE510" s="11"/>
      <c r="CF510" s="11"/>
      <c r="CG510" s="11"/>
      <c r="CH510" s="11"/>
      <c r="CI510" s="11"/>
      <c r="CJ510" s="11"/>
      <c r="CK510" s="11"/>
      <c r="CL510" s="11"/>
      <c r="CM510" s="11"/>
      <c r="CN510" s="11"/>
      <c r="CO510" s="11"/>
      <c r="CP510" s="11"/>
      <c r="CQ510" s="11"/>
      <c r="CR510" s="11"/>
      <c r="CS510" s="11"/>
      <c r="CT510" s="11"/>
      <c r="CU510" s="11"/>
      <c r="CV510" s="11"/>
    </row>
    <row r="511" spans="1:100" x14ac:dyDescent="0.55000000000000004">
      <c r="A511" s="30">
        <v>43</v>
      </c>
      <c r="B511" s="17" t="s">
        <v>510</v>
      </c>
      <c r="C511" s="7" t="s">
        <v>1058</v>
      </c>
      <c r="D511" s="7" t="s">
        <v>924</v>
      </c>
      <c r="E511" s="6"/>
      <c r="F511" s="6"/>
      <c r="G511" s="6"/>
      <c r="H511" s="6"/>
      <c r="I511" s="6"/>
      <c r="J511" s="6"/>
      <c r="K511" s="6"/>
      <c r="L511" s="6"/>
      <c r="M511" s="93"/>
      <c r="N511" s="11"/>
      <c r="O511" s="11"/>
      <c r="P511" s="11"/>
      <c r="Q511" s="11"/>
      <c r="R511" s="11"/>
      <c r="S511" s="11"/>
      <c r="T511" s="11"/>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c r="BC511" s="11"/>
      <c r="BD511" s="11"/>
      <c r="BE511" s="11"/>
      <c r="BF511" s="11"/>
      <c r="BG511" s="11"/>
      <c r="BH511" s="11"/>
      <c r="BI511" s="11"/>
      <c r="BJ511" s="11"/>
      <c r="BK511" s="11"/>
      <c r="BL511" s="11"/>
      <c r="BM511" s="11"/>
      <c r="BN511" s="11"/>
      <c r="BO511" s="11"/>
      <c r="BP511" s="11"/>
      <c r="BQ511" s="11"/>
      <c r="BR511" s="11"/>
      <c r="BS511" s="11"/>
      <c r="BT511" s="11"/>
      <c r="BU511" s="11"/>
      <c r="BV511" s="11"/>
      <c r="BW511" s="11"/>
      <c r="BX511" s="11"/>
      <c r="BY511" s="11"/>
      <c r="BZ511" s="11"/>
      <c r="CA511" s="11"/>
      <c r="CB511" s="11"/>
      <c r="CC511" s="11"/>
      <c r="CD511" s="11"/>
      <c r="CE511" s="11"/>
      <c r="CF511" s="11"/>
      <c r="CG511" s="11"/>
      <c r="CH511" s="11"/>
      <c r="CI511" s="11"/>
      <c r="CJ511" s="11"/>
      <c r="CK511" s="11"/>
      <c r="CL511" s="11"/>
      <c r="CM511" s="11"/>
      <c r="CN511" s="11"/>
      <c r="CO511" s="11"/>
      <c r="CP511" s="11"/>
      <c r="CQ511" s="11"/>
      <c r="CR511" s="11"/>
      <c r="CS511" s="11"/>
      <c r="CT511" s="11"/>
      <c r="CU511" s="11"/>
      <c r="CV511" s="11"/>
    </row>
    <row r="512" spans="1:100" x14ac:dyDescent="0.55000000000000004">
      <c r="A512" s="30">
        <v>44</v>
      </c>
      <c r="B512" s="17" t="s">
        <v>511</v>
      </c>
      <c r="C512" s="7" t="s">
        <v>1059</v>
      </c>
      <c r="D512" s="7" t="s">
        <v>924</v>
      </c>
      <c r="E512" s="6"/>
      <c r="F512" s="6"/>
      <c r="G512" s="6"/>
      <c r="H512" s="6"/>
      <c r="I512" s="6"/>
      <c r="J512" s="6"/>
      <c r="K512" s="6"/>
      <c r="L512" s="6"/>
      <c r="M512" s="93"/>
      <c r="N512" s="11"/>
      <c r="O512" s="11"/>
      <c r="P512" s="11"/>
      <c r="Q512" s="11"/>
      <c r="R512" s="11"/>
      <c r="S512" s="11"/>
      <c r="T512" s="11"/>
      <c r="Z512" s="11"/>
      <c r="AA512" s="11"/>
      <c r="AB512" s="11"/>
      <c r="AC512" s="11"/>
      <c r="AD512" s="11"/>
      <c r="AE512" s="11"/>
      <c r="AF512" s="11"/>
      <c r="AG512" s="11"/>
      <c r="AH512" s="11"/>
      <c r="AI512" s="11"/>
      <c r="AJ512" s="11"/>
      <c r="AK512" s="11"/>
      <c r="AL512" s="11"/>
      <c r="AM512" s="11"/>
      <c r="AN512" s="11"/>
      <c r="AO512" s="11"/>
      <c r="AP512" s="11"/>
      <c r="AQ512" s="11"/>
      <c r="AR512" s="11"/>
      <c r="AS512" s="11"/>
      <c r="AT512" s="11"/>
      <c r="AU512" s="11"/>
      <c r="AV512" s="11"/>
      <c r="AW512" s="11"/>
      <c r="AX512" s="11"/>
      <c r="AY512" s="11"/>
      <c r="AZ512" s="11"/>
      <c r="BA512" s="11"/>
      <c r="BB512" s="11"/>
      <c r="BC512" s="11"/>
      <c r="BD512" s="11"/>
      <c r="BE512" s="11"/>
      <c r="BF512" s="11"/>
      <c r="BG512" s="11"/>
      <c r="BH512" s="11"/>
      <c r="BI512" s="11"/>
      <c r="BJ512" s="11"/>
      <c r="BK512" s="11"/>
      <c r="BL512" s="11"/>
      <c r="BM512" s="11"/>
      <c r="BN512" s="11"/>
      <c r="BO512" s="11"/>
      <c r="BP512" s="11"/>
      <c r="BQ512" s="11"/>
      <c r="BR512" s="11"/>
      <c r="BS512" s="11"/>
      <c r="BT512" s="11"/>
      <c r="BU512" s="11"/>
      <c r="BV512" s="11"/>
      <c r="BW512" s="11"/>
      <c r="BX512" s="11"/>
      <c r="BY512" s="11"/>
      <c r="BZ512" s="11"/>
      <c r="CA512" s="11"/>
      <c r="CB512" s="11"/>
      <c r="CC512" s="11"/>
      <c r="CD512" s="11"/>
      <c r="CE512" s="11"/>
      <c r="CF512" s="11"/>
      <c r="CG512" s="11"/>
      <c r="CH512" s="11"/>
      <c r="CI512" s="11"/>
      <c r="CJ512" s="11"/>
      <c r="CK512" s="11"/>
      <c r="CL512" s="11"/>
      <c r="CM512" s="11"/>
      <c r="CN512" s="11"/>
      <c r="CO512" s="11"/>
      <c r="CP512" s="11"/>
      <c r="CQ512" s="11"/>
      <c r="CR512" s="11"/>
      <c r="CS512" s="11"/>
      <c r="CT512" s="11"/>
      <c r="CU512" s="11"/>
      <c r="CV512" s="11"/>
    </row>
    <row r="513" spans="1:100" x14ac:dyDescent="0.55000000000000004">
      <c r="A513" s="30">
        <v>45</v>
      </c>
      <c r="B513" s="101" t="s">
        <v>512</v>
      </c>
      <c r="C513" s="7" t="s">
        <v>1060</v>
      </c>
      <c r="D513" s="7" t="s">
        <v>924</v>
      </c>
      <c r="E513" s="6"/>
      <c r="F513" s="6"/>
      <c r="G513" s="6"/>
      <c r="H513" s="6"/>
      <c r="I513" s="6"/>
      <c r="J513" s="6"/>
      <c r="K513" s="6"/>
      <c r="L513" s="6"/>
      <c r="M513" s="93"/>
      <c r="N513" s="11"/>
      <c r="O513" s="11"/>
      <c r="P513" s="11"/>
      <c r="Q513" s="11"/>
      <c r="R513" s="11"/>
      <c r="S513" s="11"/>
      <c r="T513" s="11"/>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c r="BC513" s="11"/>
      <c r="BD513" s="11"/>
      <c r="BE513" s="11"/>
      <c r="BF513" s="11"/>
      <c r="BG513" s="11"/>
      <c r="BH513" s="11"/>
      <c r="BI513" s="11"/>
      <c r="BJ513" s="11"/>
      <c r="BK513" s="11"/>
      <c r="BL513" s="11"/>
      <c r="BM513" s="11"/>
      <c r="BN513" s="11"/>
      <c r="BO513" s="11"/>
      <c r="BP513" s="11"/>
      <c r="BQ513" s="11"/>
      <c r="BR513" s="11"/>
      <c r="BS513" s="11"/>
      <c r="BT513" s="11"/>
      <c r="BU513" s="11"/>
      <c r="BV513" s="11"/>
      <c r="BW513" s="11"/>
      <c r="BX513" s="11"/>
      <c r="BY513" s="11"/>
      <c r="BZ513" s="11"/>
      <c r="CA513" s="11"/>
      <c r="CB513" s="11"/>
      <c r="CC513" s="11"/>
      <c r="CD513" s="11"/>
      <c r="CE513" s="11"/>
      <c r="CF513" s="11"/>
      <c r="CG513" s="11"/>
      <c r="CH513" s="11"/>
      <c r="CI513" s="11"/>
      <c r="CJ513" s="11"/>
      <c r="CK513" s="11"/>
      <c r="CL513" s="11"/>
      <c r="CM513" s="11"/>
      <c r="CN513" s="11"/>
      <c r="CO513" s="11"/>
      <c r="CP513" s="11"/>
      <c r="CQ513" s="11"/>
      <c r="CR513" s="11"/>
      <c r="CS513" s="11"/>
      <c r="CT513" s="11"/>
      <c r="CU513" s="11"/>
      <c r="CV513" s="11"/>
    </row>
    <row r="514" spans="1:100" x14ac:dyDescent="0.55000000000000004">
      <c r="A514" s="30">
        <v>46</v>
      </c>
      <c r="B514" s="17" t="s">
        <v>513</v>
      </c>
      <c r="C514" s="7" t="s">
        <v>1061</v>
      </c>
      <c r="D514" s="7" t="s">
        <v>924</v>
      </c>
      <c r="E514" s="6"/>
      <c r="F514" s="6"/>
      <c r="G514" s="6"/>
      <c r="H514" s="6"/>
      <c r="I514" s="6"/>
      <c r="J514" s="6"/>
      <c r="K514" s="6"/>
      <c r="L514" s="6"/>
      <c r="M514" s="93"/>
      <c r="N514" s="11"/>
      <c r="O514" s="11"/>
      <c r="P514" s="11"/>
      <c r="Q514" s="11"/>
      <c r="R514" s="11"/>
      <c r="S514" s="11"/>
      <c r="T514" s="11"/>
      <c r="Z514" s="11"/>
      <c r="AA514" s="11"/>
      <c r="AB514" s="11"/>
      <c r="AC514" s="11"/>
      <c r="AD514" s="11"/>
      <c r="AE514" s="11"/>
      <c r="AF514" s="11"/>
      <c r="AG514" s="11"/>
      <c r="AH514" s="11"/>
      <c r="AI514" s="11"/>
      <c r="AJ514" s="11"/>
      <c r="AK514" s="11"/>
      <c r="AL514" s="11"/>
      <c r="AM514" s="11"/>
      <c r="AN514" s="11"/>
      <c r="AO514" s="11"/>
      <c r="AP514" s="11"/>
      <c r="AQ514" s="11"/>
      <c r="AR514" s="11"/>
      <c r="AS514" s="11"/>
      <c r="AT514" s="11"/>
      <c r="AU514" s="11"/>
      <c r="AV514" s="11"/>
      <c r="AW514" s="11"/>
      <c r="AX514" s="11"/>
      <c r="AY514" s="11"/>
      <c r="AZ514" s="11"/>
      <c r="BA514" s="11"/>
      <c r="BB514" s="11"/>
      <c r="BC514" s="11"/>
      <c r="BD514" s="11"/>
      <c r="BE514" s="11"/>
      <c r="BF514" s="11"/>
      <c r="BG514" s="11"/>
      <c r="BH514" s="11"/>
      <c r="BI514" s="11"/>
      <c r="BJ514" s="11"/>
      <c r="BK514" s="11"/>
      <c r="BL514" s="11"/>
      <c r="BM514" s="11"/>
      <c r="BN514" s="11"/>
      <c r="BO514" s="11"/>
      <c r="BP514" s="11"/>
      <c r="BQ514" s="11"/>
      <c r="BR514" s="11"/>
      <c r="BS514" s="11"/>
      <c r="BT514" s="11"/>
      <c r="BU514" s="11"/>
      <c r="BV514" s="11"/>
      <c r="BW514" s="11"/>
      <c r="BX514" s="11"/>
      <c r="BY514" s="11"/>
      <c r="BZ514" s="11"/>
      <c r="CA514" s="11"/>
      <c r="CB514" s="11"/>
      <c r="CC514" s="11"/>
      <c r="CD514" s="11"/>
      <c r="CE514" s="11"/>
      <c r="CF514" s="11"/>
      <c r="CG514" s="11"/>
      <c r="CH514" s="11"/>
      <c r="CI514" s="11"/>
      <c r="CJ514" s="11"/>
      <c r="CK514" s="11"/>
      <c r="CL514" s="11"/>
      <c r="CM514" s="11"/>
      <c r="CN514" s="11"/>
      <c r="CO514" s="11"/>
      <c r="CP514" s="11"/>
      <c r="CQ514" s="11"/>
      <c r="CR514" s="11"/>
      <c r="CS514" s="11"/>
      <c r="CT514" s="11"/>
      <c r="CU514" s="11"/>
      <c r="CV514" s="11"/>
    </row>
    <row r="515" spans="1:100" x14ac:dyDescent="0.55000000000000004">
      <c r="A515" s="30">
        <v>47</v>
      </c>
      <c r="B515" s="17" t="s">
        <v>514</v>
      </c>
      <c r="C515" s="7" t="s">
        <v>1062</v>
      </c>
      <c r="D515" s="7" t="s">
        <v>924</v>
      </c>
      <c r="E515" s="6"/>
      <c r="F515" s="6"/>
      <c r="G515" s="6"/>
      <c r="H515" s="6"/>
      <c r="I515" s="6"/>
      <c r="J515" s="6"/>
      <c r="K515" s="6"/>
      <c r="L515" s="6"/>
      <c r="M515" s="93"/>
      <c r="N515" s="11"/>
      <c r="O515" s="11"/>
      <c r="P515" s="11"/>
      <c r="Q515" s="11"/>
      <c r="R515" s="11"/>
      <c r="S515" s="11"/>
      <c r="T515" s="11"/>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c r="BC515" s="11"/>
      <c r="BD515" s="11"/>
      <c r="BE515" s="11"/>
      <c r="BF515" s="11"/>
      <c r="BG515" s="11"/>
      <c r="BH515" s="11"/>
      <c r="BI515" s="11"/>
      <c r="BJ515" s="11"/>
      <c r="BK515" s="11"/>
      <c r="BL515" s="11"/>
      <c r="BM515" s="11"/>
      <c r="BN515" s="11"/>
      <c r="BO515" s="11"/>
      <c r="BP515" s="11"/>
      <c r="BQ515" s="11"/>
      <c r="BR515" s="11"/>
      <c r="BS515" s="11"/>
      <c r="BT515" s="11"/>
      <c r="BU515" s="11"/>
      <c r="BV515" s="11"/>
      <c r="BW515" s="11"/>
      <c r="BX515" s="11"/>
      <c r="BY515" s="11"/>
      <c r="BZ515" s="11"/>
      <c r="CA515" s="11"/>
      <c r="CB515" s="11"/>
      <c r="CC515" s="11"/>
      <c r="CD515" s="11"/>
      <c r="CE515" s="11"/>
      <c r="CF515" s="11"/>
      <c r="CG515" s="11"/>
      <c r="CH515" s="11"/>
      <c r="CI515" s="11"/>
      <c r="CJ515" s="11"/>
      <c r="CK515" s="11"/>
      <c r="CL515" s="11"/>
      <c r="CM515" s="11"/>
      <c r="CN515" s="11"/>
      <c r="CO515" s="11"/>
      <c r="CP515" s="11"/>
      <c r="CQ515" s="11"/>
      <c r="CR515" s="11"/>
      <c r="CS515" s="11"/>
      <c r="CT515" s="11"/>
      <c r="CU515" s="11"/>
      <c r="CV515" s="11"/>
    </row>
    <row r="516" spans="1:100" x14ac:dyDescent="0.55000000000000004">
      <c r="A516" s="30">
        <v>48</v>
      </c>
      <c r="B516" s="17" t="s">
        <v>515</v>
      </c>
      <c r="C516" s="7" t="s">
        <v>1063</v>
      </c>
      <c r="D516" s="7" t="s">
        <v>924</v>
      </c>
      <c r="E516" s="6"/>
      <c r="F516" s="6"/>
      <c r="G516" s="6"/>
      <c r="H516" s="6"/>
      <c r="I516" s="6"/>
      <c r="J516" s="6"/>
      <c r="K516" s="6"/>
      <c r="L516" s="6"/>
      <c r="M516" s="93"/>
      <c r="N516" s="11"/>
      <c r="O516" s="11"/>
      <c r="P516" s="11"/>
      <c r="Q516" s="11"/>
      <c r="R516" s="11"/>
      <c r="S516" s="11"/>
      <c r="T516" s="11"/>
      <c r="Z516" s="11"/>
      <c r="AA516" s="11"/>
      <c r="AB516" s="11"/>
      <c r="AC516" s="11"/>
      <c r="AD516" s="11"/>
      <c r="AE516" s="11"/>
      <c r="AF516" s="11"/>
      <c r="AG516" s="11"/>
      <c r="AH516" s="11"/>
      <c r="AI516" s="11"/>
      <c r="AJ516" s="11"/>
      <c r="AK516" s="11"/>
      <c r="AL516" s="11"/>
      <c r="AM516" s="11"/>
      <c r="AN516" s="11"/>
      <c r="AO516" s="11"/>
      <c r="AP516" s="11"/>
      <c r="AQ516" s="11"/>
      <c r="AR516" s="11"/>
      <c r="AS516" s="11"/>
      <c r="AT516" s="11"/>
      <c r="AU516" s="11"/>
      <c r="AV516" s="11"/>
      <c r="AW516" s="11"/>
      <c r="AX516" s="11"/>
      <c r="AY516" s="11"/>
      <c r="AZ516" s="11"/>
      <c r="BA516" s="11"/>
      <c r="BB516" s="11"/>
      <c r="BC516" s="11"/>
      <c r="BD516" s="11"/>
      <c r="BE516" s="11"/>
      <c r="BF516" s="11"/>
      <c r="BG516" s="11"/>
      <c r="BH516" s="11"/>
      <c r="BI516" s="11"/>
      <c r="BJ516" s="11"/>
      <c r="BK516" s="11"/>
      <c r="BL516" s="11"/>
      <c r="BM516" s="11"/>
      <c r="BN516" s="11"/>
      <c r="BO516" s="11"/>
      <c r="BP516" s="11"/>
      <c r="BQ516" s="11"/>
      <c r="BR516" s="11"/>
      <c r="BS516" s="11"/>
      <c r="BT516" s="11"/>
      <c r="BU516" s="11"/>
      <c r="BV516" s="11"/>
      <c r="BW516" s="11"/>
      <c r="BX516" s="11"/>
      <c r="BY516" s="11"/>
      <c r="BZ516" s="11"/>
      <c r="CA516" s="11"/>
      <c r="CB516" s="11"/>
      <c r="CC516" s="11"/>
      <c r="CD516" s="11"/>
      <c r="CE516" s="11"/>
      <c r="CF516" s="11"/>
      <c r="CG516" s="11"/>
      <c r="CH516" s="11"/>
      <c r="CI516" s="11"/>
      <c r="CJ516" s="11"/>
      <c r="CK516" s="11"/>
      <c r="CL516" s="11"/>
      <c r="CM516" s="11"/>
      <c r="CN516" s="11"/>
      <c r="CO516" s="11"/>
      <c r="CP516" s="11"/>
      <c r="CQ516" s="11"/>
      <c r="CR516" s="11"/>
      <c r="CS516" s="11"/>
      <c r="CT516" s="11"/>
      <c r="CU516" s="11"/>
      <c r="CV516" s="11"/>
    </row>
    <row r="517" spans="1:100" x14ac:dyDescent="0.55000000000000004">
      <c r="A517" s="30">
        <v>49</v>
      </c>
      <c r="B517" s="17" t="s">
        <v>516</v>
      </c>
      <c r="C517" s="7" t="s">
        <v>1064</v>
      </c>
      <c r="D517" s="7" t="s">
        <v>924</v>
      </c>
      <c r="E517" s="6"/>
      <c r="F517" s="6"/>
      <c r="G517" s="6"/>
      <c r="H517" s="6"/>
      <c r="I517" s="6"/>
      <c r="J517" s="6"/>
      <c r="K517" s="6"/>
      <c r="L517" s="6"/>
      <c r="M517" s="93"/>
      <c r="N517" s="11"/>
      <c r="O517" s="11"/>
      <c r="P517" s="11"/>
      <c r="Q517" s="11"/>
      <c r="R517" s="11"/>
      <c r="S517" s="11"/>
      <c r="T517" s="11"/>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c r="BC517" s="11"/>
      <c r="BD517" s="11"/>
      <c r="BE517" s="11"/>
      <c r="BF517" s="11"/>
      <c r="BG517" s="11"/>
      <c r="BH517" s="11"/>
      <c r="BI517" s="11"/>
      <c r="BJ517" s="11"/>
      <c r="BK517" s="11"/>
      <c r="BL517" s="11"/>
      <c r="BM517" s="11"/>
      <c r="BN517" s="11"/>
      <c r="BO517" s="11"/>
      <c r="BP517" s="11"/>
      <c r="BQ517" s="11"/>
      <c r="BR517" s="11"/>
      <c r="BS517" s="11"/>
      <c r="BT517" s="11"/>
      <c r="BU517" s="11"/>
      <c r="BV517" s="11"/>
      <c r="BW517" s="11"/>
      <c r="BX517" s="11"/>
      <c r="BY517" s="11"/>
      <c r="BZ517" s="11"/>
      <c r="CA517" s="11"/>
      <c r="CB517" s="11"/>
      <c r="CC517" s="11"/>
      <c r="CD517" s="11"/>
      <c r="CE517" s="11"/>
      <c r="CF517" s="11"/>
      <c r="CG517" s="11"/>
      <c r="CH517" s="11"/>
      <c r="CI517" s="11"/>
      <c r="CJ517" s="11"/>
      <c r="CK517" s="11"/>
      <c r="CL517" s="11"/>
      <c r="CM517" s="11"/>
      <c r="CN517" s="11"/>
      <c r="CO517" s="11"/>
      <c r="CP517" s="11"/>
      <c r="CQ517" s="11"/>
      <c r="CR517" s="11"/>
      <c r="CS517" s="11"/>
      <c r="CT517" s="11"/>
      <c r="CU517" s="11"/>
      <c r="CV517" s="11"/>
    </row>
    <row r="518" spans="1:100" x14ac:dyDescent="0.55000000000000004">
      <c r="A518" s="30">
        <v>50</v>
      </c>
      <c r="B518" s="101" t="s">
        <v>517</v>
      </c>
      <c r="C518" s="7" t="s">
        <v>1065</v>
      </c>
      <c r="D518" s="7" t="s">
        <v>924</v>
      </c>
      <c r="E518" s="6"/>
      <c r="F518" s="6"/>
      <c r="G518" s="6"/>
      <c r="H518" s="6"/>
      <c r="I518" s="6"/>
      <c r="J518" s="6"/>
      <c r="K518" s="6"/>
      <c r="L518" s="6"/>
      <c r="M518" s="93"/>
      <c r="N518" s="11"/>
      <c r="O518" s="11"/>
      <c r="P518" s="11"/>
      <c r="Q518" s="11"/>
      <c r="R518" s="11"/>
      <c r="S518" s="11"/>
      <c r="T518" s="11"/>
      <c r="Z518" s="11"/>
      <c r="AA518" s="11"/>
      <c r="AB518" s="11"/>
      <c r="AC518" s="11"/>
      <c r="AD518" s="11"/>
      <c r="AE518" s="11"/>
      <c r="AF518" s="11"/>
      <c r="AG518" s="11"/>
      <c r="AH518" s="11"/>
      <c r="AI518" s="11"/>
      <c r="AJ518" s="11"/>
      <c r="AK518" s="11"/>
      <c r="AL518" s="11"/>
      <c r="AM518" s="11"/>
      <c r="AN518" s="11"/>
      <c r="AO518" s="11"/>
      <c r="AP518" s="11"/>
      <c r="AQ518" s="11"/>
      <c r="AR518" s="11"/>
      <c r="AS518" s="11"/>
      <c r="AT518" s="11"/>
      <c r="AU518" s="11"/>
      <c r="AV518" s="11"/>
      <c r="AW518" s="11"/>
      <c r="AX518" s="11"/>
      <c r="AY518" s="11"/>
      <c r="AZ518" s="11"/>
      <c r="BA518" s="11"/>
      <c r="BB518" s="11"/>
      <c r="BC518" s="11"/>
      <c r="BD518" s="11"/>
      <c r="BE518" s="11"/>
      <c r="BF518" s="11"/>
      <c r="BG518" s="11"/>
      <c r="BH518" s="11"/>
      <c r="BI518" s="11"/>
      <c r="BJ518" s="11"/>
      <c r="BK518" s="11"/>
      <c r="BL518" s="11"/>
      <c r="BM518" s="11"/>
      <c r="BN518" s="11"/>
      <c r="BO518" s="11"/>
      <c r="BP518" s="11"/>
      <c r="BQ518" s="11"/>
      <c r="BR518" s="11"/>
      <c r="BS518" s="11"/>
      <c r="BT518" s="11"/>
      <c r="BU518" s="11"/>
      <c r="BV518" s="11"/>
      <c r="BW518" s="11"/>
      <c r="BX518" s="11"/>
      <c r="BY518" s="11"/>
      <c r="BZ518" s="11"/>
      <c r="CA518" s="11"/>
      <c r="CB518" s="11"/>
      <c r="CC518" s="11"/>
      <c r="CD518" s="11"/>
      <c r="CE518" s="11"/>
      <c r="CF518" s="11"/>
      <c r="CG518" s="11"/>
      <c r="CH518" s="11"/>
      <c r="CI518" s="11"/>
      <c r="CJ518" s="11"/>
      <c r="CK518" s="11"/>
      <c r="CL518" s="11"/>
      <c r="CM518" s="11"/>
      <c r="CN518" s="11"/>
      <c r="CO518" s="11"/>
      <c r="CP518" s="11"/>
      <c r="CQ518" s="11"/>
      <c r="CR518" s="11"/>
      <c r="CS518" s="11"/>
      <c r="CT518" s="11"/>
      <c r="CU518" s="11"/>
      <c r="CV518" s="11"/>
    </row>
    <row r="519" spans="1:100" x14ac:dyDescent="0.55000000000000004">
      <c r="A519" s="30">
        <v>51</v>
      </c>
      <c r="B519" s="17" t="s">
        <v>518</v>
      </c>
      <c r="C519" s="7" t="s">
        <v>1066</v>
      </c>
      <c r="D519" s="7" t="s">
        <v>924</v>
      </c>
      <c r="E519" s="6"/>
      <c r="F519" s="6"/>
      <c r="G519" s="6"/>
      <c r="H519" s="6"/>
      <c r="I519" s="6"/>
      <c r="J519" s="6"/>
      <c r="K519" s="6"/>
      <c r="L519" s="6"/>
      <c r="M519" s="93"/>
      <c r="N519" s="11"/>
      <c r="O519" s="11"/>
      <c r="P519" s="11"/>
      <c r="Q519" s="11"/>
      <c r="R519" s="11"/>
      <c r="S519" s="11"/>
      <c r="T519" s="11"/>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c r="BC519" s="11"/>
      <c r="BD519" s="11"/>
      <c r="BE519" s="11"/>
      <c r="BF519" s="11"/>
      <c r="BG519" s="11"/>
      <c r="BH519" s="11"/>
      <c r="BI519" s="11"/>
      <c r="BJ519" s="11"/>
      <c r="BK519" s="11"/>
      <c r="BL519" s="11"/>
      <c r="BM519" s="11"/>
      <c r="BN519" s="11"/>
      <c r="BO519" s="11"/>
      <c r="BP519" s="11"/>
      <c r="BQ519" s="11"/>
      <c r="BR519" s="11"/>
      <c r="BS519" s="11"/>
      <c r="BT519" s="11"/>
      <c r="BU519" s="11"/>
      <c r="BV519" s="11"/>
      <c r="BW519" s="11"/>
      <c r="BX519" s="11"/>
      <c r="BY519" s="11"/>
      <c r="BZ519" s="11"/>
      <c r="CA519" s="11"/>
      <c r="CB519" s="11"/>
      <c r="CC519" s="11"/>
      <c r="CD519" s="11"/>
      <c r="CE519" s="11"/>
      <c r="CF519" s="11"/>
      <c r="CG519" s="11"/>
      <c r="CH519" s="11"/>
      <c r="CI519" s="11"/>
      <c r="CJ519" s="11"/>
      <c r="CK519" s="11"/>
      <c r="CL519" s="11"/>
      <c r="CM519" s="11"/>
      <c r="CN519" s="11"/>
      <c r="CO519" s="11"/>
      <c r="CP519" s="11"/>
      <c r="CQ519" s="11"/>
      <c r="CR519" s="11"/>
      <c r="CS519" s="11"/>
      <c r="CT519" s="11"/>
      <c r="CU519" s="11"/>
      <c r="CV519" s="11"/>
    </row>
    <row r="520" spans="1:100" x14ac:dyDescent="0.55000000000000004">
      <c r="A520" s="30">
        <v>52</v>
      </c>
      <c r="B520" s="17" t="s">
        <v>519</v>
      </c>
      <c r="C520" s="7" t="s">
        <v>1067</v>
      </c>
      <c r="D520" s="7" t="s">
        <v>924</v>
      </c>
      <c r="E520" s="6"/>
      <c r="F520" s="6"/>
      <c r="G520" s="6"/>
      <c r="H520" s="6"/>
      <c r="I520" s="6"/>
      <c r="J520" s="6"/>
      <c r="K520" s="6"/>
      <c r="L520" s="6"/>
      <c r="M520" s="93"/>
      <c r="N520" s="11"/>
      <c r="O520" s="11"/>
      <c r="P520" s="11"/>
      <c r="Q520" s="11"/>
      <c r="R520" s="11"/>
      <c r="S520" s="11"/>
      <c r="T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c r="BU520" s="11"/>
      <c r="BV520" s="11"/>
      <c r="BW520" s="11"/>
      <c r="BX520" s="11"/>
      <c r="BY520" s="11"/>
      <c r="BZ520" s="11"/>
      <c r="CA520" s="11"/>
      <c r="CB520" s="11"/>
      <c r="CC520" s="11"/>
      <c r="CD520" s="11"/>
      <c r="CE520" s="11"/>
      <c r="CF520" s="11"/>
      <c r="CG520" s="11"/>
      <c r="CH520" s="11"/>
      <c r="CI520" s="11"/>
      <c r="CJ520" s="11"/>
      <c r="CK520" s="11"/>
      <c r="CL520" s="11"/>
      <c r="CM520" s="11"/>
      <c r="CN520" s="11"/>
      <c r="CO520" s="11"/>
      <c r="CP520" s="11"/>
      <c r="CQ520" s="11"/>
      <c r="CR520" s="11"/>
      <c r="CS520" s="11"/>
      <c r="CT520" s="11"/>
      <c r="CU520" s="11"/>
      <c r="CV520" s="11"/>
    </row>
    <row r="521" spans="1:100" x14ac:dyDescent="0.55000000000000004">
      <c r="A521" s="30">
        <v>53</v>
      </c>
      <c r="B521" s="17" t="s">
        <v>520</v>
      </c>
      <c r="C521" s="7" t="s">
        <v>1068</v>
      </c>
      <c r="D521" s="7" t="s">
        <v>924</v>
      </c>
      <c r="E521" s="6"/>
      <c r="F521" s="6"/>
      <c r="G521" s="6"/>
      <c r="H521" s="6"/>
      <c r="I521" s="6"/>
      <c r="J521" s="6"/>
      <c r="K521" s="6"/>
      <c r="L521" s="6"/>
      <c r="M521" s="93"/>
      <c r="N521" s="11"/>
      <c r="O521" s="11"/>
      <c r="P521" s="11"/>
      <c r="Q521" s="11"/>
      <c r="R521" s="11"/>
      <c r="S521" s="11"/>
      <c r="T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c r="BU521" s="11"/>
      <c r="BV521" s="11"/>
      <c r="BW521" s="11"/>
      <c r="BX521" s="11"/>
      <c r="BY521" s="11"/>
      <c r="BZ521" s="11"/>
      <c r="CA521" s="11"/>
      <c r="CB521" s="11"/>
      <c r="CC521" s="11"/>
      <c r="CD521" s="11"/>
      <c r="CE521" s="11"/>
      <c r="CF521" s="11"/>
      <c r="CG521" s="11"/>
      <c r="CH521" s="11"/>
      <c r="CI521" s="11"/>
      <c r="CJ521" s="11"/>
      <c r="CK521" s="11"/>
      <c r="CL521" s="11"/>
      <c r="CM521" s="11"/>
      <c r="CN521" s="11"/>
      <c r="CO521" s="11"/>
      <c r="CP521" s="11"/>
      <c r="CQ521" s="11"/>
      <c r="CR521" s="11"/>
      <c r="CS521" s="11"/>
      <c r="CT521" s="11"/>
      <c r="CU521" s="11"/>
      <c r="CV521" s="11"/>
    </row>
    <row r="522" spans="1:100" x14ac:dyDescent="0.55000000000000004">
      <c r="A522" s="30">
        <v>54</v>
      </c>
      <c r="B522" s="17" t="s">
        <v>521</v>
      </c>
      <c r="C522" s="7" t="s">
        <v>1069</v>
      </c>
      <c r="D522" s="7" t="s">
        <v>924</v>
      </c>
      <c r="E522" s="6"/>
      <c r="F522" s="6"/>
      <c r="G522" s="6"/>
      <c r="H522" s="6"/>
      <c r="I522" s="6"/>
      <c r="J522" s="6"/>
      <c r="K522" s="6"/>
      <c r="L522" s="6"/>
      <c r="M522" s="93"/>
      <c r="N522" s="11"/>
      <c r="O522" s="11"/>
      <c r="P522" s="11"/>
      <c r="Q522" s="11"/>
      <c r="R522" s="11"/>
      <c r="S522" s="11"/>
      <c r="T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c r="BU522" s="11"/>
      <c r="BV522" s="11"/>
      <c r="BW522" s="11"/>
      <c r="BX522" s="11"/>
      <c r="BY522" s="11"/>
      <c r="BZ522" s="11"/>
      <c r="CA522" s="11"/>
      <c r="CB522" s="11"/>
      <c r="CC522" s="11"/>
      <c r="CD522" s="11"/>
      <c r="CE522" s="11"/>
      <c r="CF522" s="11"/>
      <c r="CG522" s="11"/>
      <c r="CH522" s="11"/>
      <c r="CI522" s="11"/>
      <c r="CJ522" s="11"/>
      <c r="CK522" s="11"/>
      <c r="CL522" s="11"/>
      <c r="CM522" s="11"/>
      <c r="CN522" s="11"/>
      <c r="CO522" s="11"/>
      <c r="CP522" s="11"/>
      <c r="CQ522" s="11"/>
      <c r="CR522" s="11"/>
      <c r="CS522" s="11"/>
      <c r="CT522" s="11"/>
      <c r="CU522" s="11"/>
      <c r="CV522" s="11"/>
    </row>
    <row r="523" spans="1:100" x14ac:dyDescent="0.55000000000000004">
      <c r="A523" s="30">
        <v>55</v>
      </c>
      <c r="B523" s="17" t="s">
        <v>522</v>
      </c>
      <c r="C523" s="7" t="s">
        <v>1070</v>
      </c>
      <c r="D523" s="7" t="s">
        <v>924</v>
      </c>
      <c r="E523" s="6"/>
      <c r="F523" s="6"/>
      <c r="G523" s="6"/>
      <c r="H523" s="6"/>
      <c r="I523" s="6"/>
      <c r="J523" s="6"/>
      <c r="K523" s="6"/>
      <c r="L523" s="6"/>
      <c r="M523" s="93"/>
      <c r="N523" s="11"/>
      <c r="O523" s="11"/>
      <c r="P523" s="11"/>
      <c r="Q523" s="11"/>
      <c r="R523" s="11"/>
      <c r="S523" s="11"/>
      <c r="T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c r="BU523" s="11"/>
      <c r="BV523" s="11"/>
      <c r="BW523" s="11"/>
      <c r="BX523" s="11"/>
      <c r="BY523" s="11"/>
      <c r="BZ523" s="11"/>
      <c r="CA523" s="11"/>
      <c r="CB523" s="11"/>
      <c r="CC523" s="11"/>
      <c r="CD523" s="11"/>
      <c r="CE523" s="11"/>
      <c r="CF523" s="11"/>
      <c r="CG523" s="11"/>
      <c r="CH523" s="11"/>
      <c r="CI523" s="11"/>
      <c r="CJ523" s="11"/>
      <c r="CK523" s="11"/>
      <c r="CL523" s="11"/>
      <c r="CM523" s="11"/>
      <c r="CN523" s="11"/>
      <c r="CO523" s="11"/>
      <c r="CP523" s="11"/>
      <c r="CQ523" s="11"/>
      <c r="CR523" s="11"/>
      <c r="CS523" s="11"/>
      <c r="CT523" s="11"/>
      <c r="CU523" s="11"/>
      <c r="CV523" s="11"/>
    </row>
    <row r="524" spans="1:100" x14ac:dyDescent="0.55000000000000004">
      <c r="A524" s="30">
        <v>56</v>
      </c>
      <c r="B524" s="101" t="s">
        <v>523</v>
      </c>
      <c r="C524" s="7" t="s">
        <v>1071</v>
      </c>
      <c r="D524" s="7" t="s">
        <v>924</v>
      </c>
      <c r="E524" s="6"/>
      <c r="F524" s="6"/>
      <c r="G524" s="6"/>
      <c r="H524" s="6"/>
      <c r="I524" s="6"/>
      <c r="J524" s="6"/>
      <c r="K524" s="6"/>
      <c r="L524" s="6"/>
      <c r="M524" s="93"/>
      <c r="N524" s="11"/>
      <c r="O524" s="11"/>
      <c r="P524" s="11"/>
      <c r="Q524" s="11"/>
      <c r="R524" s="11"/>
      <c r="S524" s="11"/>
      <c r="T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c r="BU524" s="11"/>
      <c r="BV524" s="11"/>
      <c r="BW524" s="11"/>
      <c r="BX524" s="11"/>
      <c r="BY524" s="11"/>
      <c r="BZ524" s="11"/>
      <c r="CA524" s="11"/>
      <c r="CB524" s="11"/>
      <c r="CC524" s="11"/>
      <c r="CD524" s="11"/>
      <c r="CE524" s="11"/>
      <c r="CF524" s="11"/>
      <c r="CG524" s="11"/>
      <c r="CH524" s="11"/>
      <c r="CI524" s="11"/>
      <c r="CJ524" s="11"/>
      <c r="CK524" s="11"/>
      <c r="CL524" s="11"/>
      <c r="CM524" s="11"/>
      <c r="CN524" s="11"/>
      <c r="CO524" s="11"/>
      <c r="CP524" s="11"/>
      <c r="CQ524" s="11"/>
      <c r="CR524" s="11"/>
      <c r="CS524" s="11"/>
      <c r="CT524" s="11"/>
      <c r="CU524" s="11"/>
      <c r="CV524" s="11"/>
    </row>
    <row r="525" spans="1:100" x14ac:dyDescent="0.55000000000000004">
      <c r="A525" s="30">
        <v>57</v>
      </c>
      <c r="B525" s="101" t="s">
        <v>524</v>
      </c>
      <c r="C525" s="7" t="s">
        <v>1072</v>
      </c>
      <c r="D525" s="7" t="s">
        <v>924</v>
      </c>
      <c r="E525" s="6"/>
      <c r="F525" s="6"/>
      <c r="G525" s="6"/>
      <c r="H525" s="6"/>
      <c r="I525" s="6"/>
      <c r="J525" s="6"/>
      <c r="K525" s="6"/>
      <c r="L525" s="6"/>
      <c r="M525" s="93"/>
      <c r="N525" s="11"/>
      <c r="O525" s="11"/>
      <c r="P525" s="11"/>
      <c r="Q525" s="11"/>
      <c r="R525" s="11"/>
      <c r="S525" s="11"/>
      <c r="T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c r="BU525" s="11"/>
      <c r="BV525" s="11"/>
      <c r="BW525" s="11"/>
      <c r="BX525" s="11"/>
      <c r="BY525" s="11"/>
      <c r="BZ525" s="11"/>
      <c r="CA525" s="11"/>
      <c r="CB525" s="11"/>
      <c r="CC525" s="11"/>
      <c r="CD525" s="11"/>
      <c r="CE525" s="11"/>
      <c r="CF525" s="11"/>
      <c r="CG525" s="11"/>
      <c r="CH525" s="11"/>
      <c r="CI525" s="11"/>
      <c r="CJ525" s="11"/>
      <c r="CK525" s="11"/>
      <c r="CL525" s="11"/>
      <c r="CM525" s="11"/>
      <c r="CN525" s="11"/>
      <c r="CO525" s="11"/>
      <c r="CP525" s="11"/>
      <c r="CQ525" s="11"/>
      <c r="CR525" s="11"/>
      <c r="CS525" s="11"/>
      <c r="CT525" s="11"/>
      <c r="CU525" s="11"/>
      <c r="CV525" s="11"/>
    </row>
    <row r="526" spans="1:100" x14ac:dyDescent="0.55000000000000004">
      <c r="A526" s="30">
        <v>58</v>
      </c>
      <c r="B526" s="17" t="s">
        <v>525</v>
      </c>
      <c r="C526" s="7" t="s">
        <v>1073</v>
      </c>
      <c r="D526" s="7" t="s">
        <v>924</v>
      </c>
      <c r="E526" s="6"/>
      <c r="F526" s="6"/>
      <c r="G526" s="6"/>
      <c r="H526" s="6"/>
      <c r="I526" s="6"/>
      <c r="J526" s="6"/>
      <c r="K526" s="6"/>
      <c r="L526" s="6"/>
      <c r="M526" s="93"/>
      <c r="N526" s="11"/>
      <c r="O526" s="11"/>
      <c r="P526" s="11"/>
      <c r="Q526" s="11"/>
      <c r="R526" s="11"/>
      <c r="S526" s="11"/>
      <c r="T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c r="BU526" s="11"/>
      <c r="BV526" s="11"/>
      <c r="BW526" s="11"/>
      <c r="BX526" s="11"/>
      <c r="BY526" s="11"/>
      <c r="BZ526" s="11"/>
      <c r="CA526" s="11"/>
      <c r="CB526" s="11"/>
      <c r="CC526" s="11"/>
      <c r="CD526" s="11"/>
      <c r="CE526" s="11"/>
      <c r="CF526" s="11"/>
      <c r="CG526" s="11"/>
      <c r="CH526" s="11"/>
      <c r="CI526" s="11"/>
      <c r="CJ526" s="11"/>
      <c r="CK526" s="11"/>
      <c r="CL526" s="11"/>
      <c r="CM526" s="11"/>
      <c r="CN526" s="11"/>
      <c r="CO526" s="11"/>
      <c r="CP526" s="11"/>
      <c r="CQ526" s="11"/>
      <c r="CR526" s="11"/>
      <c r="CS526" s="11"/>
      <c r="CT526" s="11"/>
      <c r="CU526" s="11"/>
      <c r="CV526" s="11"/>
    </row>
    <row r="527" spans="1:100" x14ac:dyDescent="0.55000000000000004">
      <c r="A527" s="30">
        <v>59</v>
      </c>
      <c r="B527" s="17" t="s">
        <v>526</v>
      </c>
      <c r="C527" s="7" t="s">
        <v>1074</v>
      </c>
      <c r="D527" s="7" t="s">
        <v>924</v>
      </c>
      <c r="E527" s="6"/>
      <c r="F527" s="6"/>
      <c r="G527" s="6"/>
      <c r="H527" s="6"/>
      <c r="I527" s="6"/>
      <c r="J527" s="6"/>
      <c r="K527" s="6"/>
      <c r="L527" s="6"/>
      <c r="M527" s="93"/>
      <c r="N527" s="11"/>
      <c r="O527" s="11"/>
      <c r="P527" s="11"/>
      <c r="Q527" s="11"/>
      <c r="R527" s="11"/>
      <c r="S527" s="11"/>
      <c r="T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c r="BU527" s="11"/>
      <c r="BV527" s="11"/>
      <c r="BW527" s="11"/>
      <c r="BX527" s="11"/>
      <c r="BY527" s="11"/>
      <c r="BZ527" s="11"/>
      <c r="CA527" s="11"/>
      <c r="CB527" s="11"/>
      <c r="CC527" s="11"/>
      <c r="CD527" s="11"/>
      <c r="CE527" s="11"/>
      <c r="CF527" s="11"/>
      <c r="CG527" s="11"/>
      <c r="CH527" s="11"/>
      <c r="CI527" s="11"/>
      <c r="CJ527" s="11"/>
      <c r="CK527" s="11"/>
      <c r="CL527" s="11"/>
      <c r="CM527" s="11"/>
      <c r="CN527" s="11"/>
      <c r="CO527" s="11"/>
      <c r="CP527" s="11"/>
      <c r="CQ527" s="11"/>
      <c r="CR527" s="11"/>
      <c r="CS527" s="11"/>
      <c r="CT527" s="11"/>
      <c r="CU527" s="11"/>
      <c r="CV527" s="11"/>
    </row>
    <row r="528" spans="1:100" x14ac:dyDescent="0.55000000000000004">
      <c r="A528" s="30">
        <v>60</v>
      </c>
      <c r="B528" s="17" t="s">
        <v>527</v>
      </c>
      <c r="C528" s="7" t="s">
        <v>1075</v>
      </c>
      <c r="D528" s="7" t="s">
        <v>924</v>
      </c>
      <c r="E528" s="6"/>
      <c r="F528" s="6"/>
      <c r="G528" s="6"/>
      <c r="H528" s="6"/>
      <c r="I528" s="6"/>
      <c r="J528" s="6"/>
      <c r="K528" s="6"/>
      <c r="L528" s="6"/>
      <c r="M528" s="93"/>
      <c r="N528" s="11"/>
      <c r="O528" s="11"/>
      <c r="P528" s="11"/>
      <c r="Q528" s="11"/>
      <c r="R528" s="11"/>
      <c r="S528" s="11"/>
      <c r="T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c r="BU528" s="11"/>
      <c r="BV528" s="11"/>
      <c r="BW528" s="11"/>
      <c r="BX528" s="11"/>
      <c r="BY528" s="11"/>
      <c r="BZ528" s="11"/>
      <c r="CA528" s="11"/>
      <c r="CB528" s="11"/>
      <c r="CC528" s="11"/>
      <c r="CD528" s="11"/>
      <c r="CE528" s="11"/>
      <c r="CF528" s="11"/>
      <c r="CG528" s="11"/>
      <c r="CH528" s="11"/>
      <c r="CI528" s="11"/>
      <c r="CJ528" s="11"/>
      <c r="CK528" s="11"/>
      <c r="CL528" s="11"/>
      <c r="CM528" s="11"/>
      <c r="CN528" s="11"/>
      <c r="CO528" s="11"/>
      <c r="CP528" s="11"/>
      <c r="CQ528" s="11"/>
      <c r="CR528" s="11"/>
      <c r="CS528" s="11"/>
      <c r="CT528" s="11"/>
      <c r="CU528" s="11"/>
      <c r="CV528" s="11"/>
    </row>
    <row r="529" spans="1:100" x14ac:dyDescent="0.55000000000000004">
      <c r="A529" s="30">
        <v>61</v>
      </c>
      <c r="B529" s="17" t="s">
        <v>528</v>
      </c>
      <c r="C529" s="7" t="s">
        <v>1076</v>
      </c>
      <c r="D529" s="7" t="s">
        <v>924</v>
      </c>
      <c r="E529" s="6"/>
      <c r="F529" s="6"/>
      <c r="G529" s="6"/>
      <c r="H529" s="6"/>
      <c r="I529" s="6"/>
      <c r="J529" s="6"/>
      <c r="K529" s="6"/>
      <c r="L529" s="6"/>
      <c r="M529" s="93"/>
      <c r="N529" s="11"/>
      <c r="O529" s="11"/>
      <c r="P529" s="11"/>
      <c r="Q529" s="11"/>
      <c r="R529" s="11"/>
      <c r="S529" s="11"/>
      <c r="T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c r="BU529" s="11"/>
      <c r="BV529" s="11"/>
      <c r="BW529" s="11"/>
      <c r="BX529" s="11"/>
      <c r="BY529" s="11"/>
      <c r="BZ529" s="11"/>
      <c r="CA529" s="11"/>
      <c r="CB529" s="11"/>
      <c r="CC529" s="11"/>
      <c r="CD529" s="11"/>
      <c r="CE529" s="11"/>
      <c r="CF529" s="11"/>
      <c r="CG529" s="11"/>
      <c r="CH529" s="11"/>
      <c r="CI529" s="11"/>
      <c r="CJ529" s="11"/>
      <c r="CK529" s="11"/>
      <c r="CL529" s="11"/>
      <c r="CM529" s="11"/>
      <c r="CN529" s="11"/>
      <c r="CO529" s="11"/>
      <c r="CP529" s="11"/>
      <c r="CQ529" s="11"/>
      <c r="CR529" s="11"/>
      <c r="CS529" s="11"/>
      <c r="CT529" s="11"/>
      <c r="CU529" s="11"/>
      <c r="CV529" s="11"/>
    </row>
    <row r="530" spans="1:100" x14ac:dyDescent="0.55000000000000004">
      <c r="A530" s="30">
        <v>62</v>
      </c>
      <c r="B530" s="17" t="s">
        <v>529</v>
      </c>
      <c r="C530" s="7" t="s">
        <v>1077</v>
      </c>
      <c r="D530" s="7" t="s">
        <v>924</v>
      </c>
      <c r="E530" s="6"/>
      <c r="F530" s="6"/>
      <c r="G530" s="6"/>
      <c r="H530" s="6"/>
      <c r="I530" s="6"/>
      <c r="J530" s="6"/>
      <c r="K530" s="6"/>
      <c r="L530" s="6"/>
      <c r="M530" s="93"/>
      <c r="N530" s="11"/>
      <c r="O530" s="11"/>
      <c r="P530" s="11"/>
      <c r="Q530" s="11"/>
      <c r="R530" s="11"/>
      <c r="S530" s="11"/>
      <c r="T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c r="BU530" s="11"/>
      <c r="BV530" s="11"/>
      <c r="BW530" s="11"/>
      <c r="BX530" s="11"/>
      <c r="BY530" s="11"/>
      <c r="BZ530" s="11"/>
      <c r="CA530" s="11"/>
      <c r="CB530" s="11"/>
      <c r="CC530" s="11"/>
      <c r="CD530" s="11"/>
      <c r="CE530" s="11"/>
      <c r="CF530" s="11"/>
      <c r="CG530" s="11"/>
      <c r="CH530" s="11"/>
      <c r="CI530" s="11"/>
      <c r="CJ530" s="11"/>
      <c r="CK530" s="11"/>
      <c r="CL530" s="11"/>
      <c r="CM530" s="11"/>
      <c r="CN530" s="11"/>
      <c r="CO530" s="11"/>
      <c r="CP530" s="11"/>
      <c r="CQ530" s="11"/>
      <c r="CR530" s="11"/>
      <c r="CS530" s="11"/>
      <c r="CT530" s="11"/>
      <c r="CU530" s="11"/>
      <c r="CV530" s="11"/>
    </row>
    <row r="531" spans="1:100" x14ac:dyDescent="0.55000000000000004">
      <c r="A531" s="30">
        <v>63</v>
      </c>
      <c r="B531" s="17" t="s">
        <v>530</v>
      </c>
      <c r="C531" s="7" t="s">
        <v>1078</v>
      </c>
      <c r="D531" s="7" t="s">
        <v>2</v>
      </c>
      <c r="E531" s="6"/>
      <c r="F531" s="6"/>
      <c r="G531" s="6"/>
      <c r="H531" s="6"/>
      <c r="I531" s="6"/>
      <c r="J531" s="6"/>
      <c r="K531" s="6"/>
      <c r="L531" s="6"/>
      <c r="M531" s="93"/>
      <c r="N531" s="11"/>
      <c r="O531" s="11"/>
      <c r="P531" s="11"/>
      <c r="Q531" s="11"/>
      <c r="R531" s="11"/>
      <c r="S531" s="11"/>
      <c r="T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c r="BU531" s="11"/>
      <c r="BV531" s="11"/>
      <c r="BW531" s="11"/>
      <c r="BX531" s="11"/>
      <c r="BY531" s="11"/>
      <c r="BZ531" s="11"/>
      <c r="CA531" s="11"/>
      <c r="CB531" s="11"/>
      <c r="CC531" s="11"/>
      <c r="CD531" s="11"/>
      <c r="CE531" s="11"/>
      <c r="CF531" s="11"/>
      <c r="CG531" s="11"/>
      <c r="CH531" s="11"/>
      <c r="CI531" s="11"/>
      <c r="CJ531" s="11"/>
      <c r="CK531" s="11"/>
      <c r="CL531" s="11"/>
      <c r="CM531" s="11"/>
      <c r="CN531" s="11"/>
      <c r="CO531" s="11"/>
      <c r="CP531" s="11"/>
      <c r="CQ531" s="11"/>
      <c r="CR531" s="11"/>
      <c r="CS531" s="11"/>
      <c r="CT531" s="11"/>
      <c r="CU531" s="11"/>
      <c r="CV531" s="11"/>
    </row>
    <row r="532" spans="1:100" x14ac:dyDescent="0.55000000000000004">
      <c r="A532" s="30">
        <v>64</v>
      </c>
      <c r="B532" s="17" t="s">
        <v>531</v>
      </c>
      <c r="C532" s="7" t="s">
        <v>1079</v>
      </c>
      <c r="D532" s="7" t="s">
        <v>2</v>
      </c>
      <c r="E532" s="6"/>
      <c r="F532" s="6"/>
      <c r="G532" s="6"/>
      <c r="H532" s="6"/>
      <c r="I532" s="6"/>
      <c r="J532" s="6"/>
      <c r="K532" s="6"/>
      <c r="L532" s="6"/>
      <c r="M532" s="93"/>
      <c r="N532" s="11"/>
      <c r="O532" s="11"/>
      <c r="P532" s="11"/>
      <c r="Q532" s="11"/>
      <c r="R532" s="11"/>
      <c r="S532" s="11"/>
      <c r="T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c r="BU532" s="11"/>
      <c r="BV532" s="11"/>
      <c r="BW532" s="11"/>
      <c r="BX532" s="11"/>
      <c r="BY532" s="11"/>
      <c r="BZ532" s="11"/>
      <c r="CA532" s="11"/>
      <c r="CB532" s="11"/>
      <c r="CC532" s="11"/>
      <c r="CD532" s="11"/>
      <c r="CE532" s="11"/>
      <c r="CF532" s="11"/>
      <c r="CG532" s="11"/>
      <c r="CH532" s="11"/>
      <c r="CI532" s="11"/>
      <c r="CJ532" s="11"/>
      <c r="CK532" s="11"/>
      <c r="CL532" s="11"/>
      <c r="CM532" s="11"/>
      <c r="CN532" s="11"/>
      <c r="CO532" s="11"/>
      <c r="CP532" s="11"/>
      <c r="CQ532" s="11"/>
      <c r="CR532" s="11"/>
      <c r="CS532" s="11"/>
      <c r="CT532" s="11"/>
      <c r="CU532" s="11"/>
      <c r="CV532" s="11"/>
    </row>
    <row r="533" spans="1:100" x14ac:dyDescent="0.55000000000000004">
      <c r="A533" s="30">
        <v>65</v>
      </c>
      <c r="B533" s="17" t="s">
        <v>532</v>
      </c>
      <c r="C533" s="7" t="s">
        <v>1080</v>
      </c>
      <c r="D533" s="7" t="s">
        <v>2</v>
      </c>
      <c r="E533" s="6"/>
      <c r="F533" s="6"/>
      <c r="G533" s="6"/>
      <c r="H533" s="6"/>
      <c r="I533" s="6"/>
      <c r="J533" s="6"/>
      <c r="K533" s="6"/>
      <c r="L533" s="6"/>
      <c r="M533" s="93"/>
      <c r="N533" s="11"/>
      <c r="O533" s="11"/>
      <c r="P533" s="11"/>
      <c r="Q533" s="11"/>
      <c r="R533" s="11"/>
      <c r="S533" s="11"/>
      <c r="T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c r="BU533" s="11"/>
      <c r="BV533" s="11"/>
      <c r="BW533" s="11"/>
      <c r="BX533" s="11"/>
      <c r="BY533" s="11"/>
      <c r="BZ533" s="11"/>
      <c r="CA533" s="11"/>
      <c r="CB533" s="11"/>
      <c r="CC533" s="11"/>
      <c r="CD533" s="11"/>
      <c r="CE533" s="11"/>
      <c r="CF533" s="11"/>
      <c r="CG533" s="11"/>
      <c r="CH533" s="11"/>
      <c r="CI533" s="11"/>
      <c r="CJ533" s="11"/>
      <c r="CK533" s="11"/>
      <c r="CL533" s="11"/>
      <c r="CM533" s="11"/>
      <c r="CN533" s="11"/>
      <c r="CO533" s="11"/>
      <c r="CP533" s="11"/>
      <c r="CQ533" s="11"/>
      <c r="CR533" s="11"/>
      <c r="CS533" s="11"/>
      <c r="CT533" s="11"/>
      <c r="CU533" s="11"/>
      <c r="CV533" s="11"/>
    </row>
    <row r="534" spans="1:100" x14ac:dyDescent="0.55000000000000004">
      <c r="A534" s="30">
        <v>66</v>
      </c>
      <c r="B534" s="17" t="s">
        <v>533</v>
      </c>
      <c r="C534" s="7" t="s">
        <v>1081</v>
      </c>
      <c r="D534" s="7" t="s">
        <v>924</v>
      </c>
      <c r="E534" s="6"/>
      <c r="F534" s="6"/>
      <c r="G534" s="6"/>
      <c r="H534" s="6"/>
      <c r="I534" s="6"/>
      <c r="J534" s="6"/>
      <c r="K534" s="6"/>
      <c r="L534" s="6"/>
      <c r="M534" s="93"/>
      <c r="N534" s="11"/>
      <c r="O534" s="11"/>
      <c r="P534" s="11"/>
      <c r="Q534" s="11"/>
      <c r="R534" s="11"/>
      <c r="S534" s="11"/>
      <c r="T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c r="BU534" s="11"/>
      <c r="BV534" s="11"/>
      <c r="BW534" s="11"/>
      <c r="BX534" s="11"/>
      <c r="BY534" s="11"/>
      <c r="BZ534" s="11"/>
      <c r="CA534" s="11"/>
      <c r="CB534" s="11"/>
      <c r="CC534" s="11"/>
      <c r="CD534" s="11"/>
      <c r="CE534" s="11"/>
      <c r="CF534" s="11"/>
      <c r="CG534" s="11"/>
      <c r="CH534" s="11"/>
      <c r="CI534" s="11"/>
      <c r="CJ534" s="11"/>
      <c r="CK534" s="11"/>
      <c r="CL534" s="11"/>
      <c r="CM534" s="11"/>
      <c r="CN534" s="11"/>
      <c r="CO534" s="11"/>
      <c r="CP534" s="11"/>
      <c r="CQ534" s="11"/>
      <c r="CR534" s="11"/>
      <c r="CS534" s="11"/>
      <c r="CT534" s="11"/>
      <c r="CU534" s="11"/>
      <c r="CV534" s="11"/>
    </row>
    <row r="535" spans="1:100" x14ac:dyDescent="0.55000000000000004">
      <c r="A535" s="30">
        <v>67</v>
      </c>
      <c r="B535" s="101" t="s">
        <v>534</v>
      </c>
      <c r="C535" s="7" t="s">
        <v>1082</v>
      </c>
      <c r="D535" s="7" t="s">
        <v>924</v>
      </c>
      <c r="E535" s="6"/>
      <c r="F535" s="6"/>
      <c r="G535" s="6"/>
      <c r="H535" s="6"/>
      <c r="I535" s="6"/>
      <c r="J535" s="6"/>
      <c r="K535" s="6"/>
      <c r="L535" s="6"/>
      <c r="M535" s="93"/>
      <c r="N535" s="11"/>
      <c r="O535" s="11"/>
      <c r="P535" s="11"/>
      <c r="Q535" s="11"/>
      <c r="R535" s="11"/>
      <c r="S535" s="11"/>
      <c r="T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c r="BU535" s="11"/>
      <c r="BV535" s="11"/>
      <c r="BW535" s="11"/>
      <c r="BX535" s="11"/>
      <c r="BY535" s="11"/>
      <c r="BZ535" s="11"/>
      <c r="CA535" s="11"/>
      <c r="CB535" s="11"/>
      <c r="CC535" s="11"/>
      <c r="CD535" s="11"/>
      <c r="CE535" s="11"/>
      <c r="CF535" s="11"/>
      <c r="CG535" s="11"/>
      <c r="CH535" s="11"/>
      <c r="CI535" s="11"/>
      <c r="CJ535" s="11"/>
      <c r="CK535" s="11"/>
      <c r="CL535" s="11"/>
      <c r="CM535" s="11"/>
      <c r="CN535" s="11"/>
      <c r="CO535" s="11"/>
      <c r="CP535" s="11"/>
      <c r="CQ535" s="11"/>
      <c r="CR535" s="11"/>
      <c r="CS535" s="11"/>
      <c r="CT535" s="11"/>
      <c r="CU535" s="11"/>
      <c r="CV535" s="11"/>
    </row>
    <row r="536" spans="1:100" x14ac:dyDescent="0.55000000000000004">
      <c r="A536" s="30">
        <v>68</v>
      </c>
      <c r="B536" s="17" t="s">
        <v>535</v>
      </c>
      <c r="C536" s="7" t="s">
        <v>1083</v>
      </c>
      <c r="D536" s="7" t="s">
        <v>924</v>
      </c>
      <c r="E536" s="6"/>
      <c r="F536" s="6"/>
      <c r="G536" s="6"/>
      <c r="H536" s="6"/>
      <c r="I536" s="6"/>
      <c r="J536" s="6"/>
      <c r="K536" s="6"/>
      <c r="L536" s="6"/>
      <c r="M536" s="93"/>
      <c r="N536" s="11"/>
      <c r="O536" s="11"/>
      <c r="P536" s="11"/>
      <c r="Q536" s="11"/>
      <c r="R536" s="11"/>
      <c r="S536" s="11"/>
      <c r="T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c r="BU536" s="11"/>
      <c r="BV536" s="11"/>
      <c r="BW536" s="11"/>
      <c r="BX536" s="11"/>
      <c r="BY536" s="11"/>
      <c r="BZ536" s="11"/>
      <c r="CA536" s="11"/>
      <c r="CB536" s="11"/>
      <c r="CC536" s="11"/>
      <c r="CD536" s="11"/>
      <c r="CE536" s="11"/>
      <c r="CF536" s="11"/>
      <c r="CG536" s="11"/>
      <c r="CH536" s="11"/>
      <c r="CI536" s="11"/>
      <c r="CJ536" s="11"/>
      <c r="CK536" s="11"/>
      <c r="CL536" s="11"/>
      <c r="CM536" s="11"/>
      <c r="CN536" s="11"/>
      <c r="CO536" s="11"/>
      <c r="CP536" s="11"/>
      <c r="CQ536" s="11"/>
      <c r="CR536" s="11"/>
      <c r="CS536" s="11"/>
      <c r="CT536" s="11"/>
      <c r="CU536" s="11"/>
      <c r="CV536" s="11"/>
    </row>
    <row r="537" spans="1:100" x14ac:dyDescent="0.55000000000000004">
      <c r="A537" s="30">
        <v>69</v>
      </c>
      <c r="B537" s="17" t="s">
        <v>536</v>
      </c>
      <c r="C537" s="7" t="s">
        <v>1084</v>
      </c>
      <c r="D537" s="7" t="s">
        <v>924</v>
      </c>
      <c r="E537" s="6"/>
      <c r="F537" s="6"/>
      <c r="G537" s="6"/>
      <c r="H537" s="6"/>
      <c r="I537" s="6"/>
      <c r="J537" s="6"/>
      <c r="K537" s="6"/>
      <c r="L537" s="6"/>
      <c r="M537" s="93"/>
      <c r="N537" s="11"/>
      <c r="O537" s="11"/>
      <c r="P537" s="11"/>
      <c r="Q537" s="11"/>
      <c r="R537" s="11"/>
      <c r="S537" s="11"/>
      <c r="T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c r="BU537" s="11"/>
      <c r="BV537" s="11"/>
      <c r="BW537" s="11"/>
      <c r="BX537" s="11"/>
      <c r="BY537" s="11"/>
      <c r="BZ537" s="11"/>
      <c r="CA537" s="11"/>
      <c r="CB537" s="11"/>
      <c r="CC537" s="11"/>
      <c r="CD537" s="11"/>
      <c r="CE537" s="11"/>
      <c r="CF537" s="11"/>
      <c r="CG537" s="11"/>
      <c r="CH537" s="11"/>
      <c r="CI537" s="11"/>
      <c r="CJ537" s="11"/>
      <c r="CK537" s="11"/>
      <c r="CL537" s="11"/>
      <c r="CM537" s="11"/>
      <c r="CN537" s="11"/>
      <c r="CO537" s="11"/>
      <c r="CP537" s="11"/>
      <c r="CQ537" s="11"/>
      <c r="CR537" s="11"/>
      <c r="CS537" s="11"/>
      <c r="CT537" s="11"/>
      <c r="CU537" s="11"/>
      <c r="CV537" s="11"/>
    </row>
    <row r="538" spans="1:100" x14ac:dyDescent="0.55000000000000004">
      <c r="A538" s="30">
        <v>70</v>
      </c>
      <c r="B538" s="17" t="s">
        <v>537</v>
      </c>
      <c r="C538" s="7" t="s">
        <v>1085</v>
      </c>
      <c r="D538" s="7" t="s">
        <v>924</v>
      </c>
      <c r="E538" s="6"/>
      <c r="F538" s="6"/>
      <c r="G538" s="6"/>
      <c r="H538" s="6"/>
      <c r="I538" s="6"/>
      <c r="J538" s="6"/>
      <c r="K538" s="6"/>
      <c r="L538" s="6"/>
      <c r="M538" s="93"/>
      <c r="N538" s="11"/>
      <c r="O538" s="11"/>
      <c r="P538" s="11"/>
      <c r="Q538" s="11"/>
      <c r="R538" s="11"/>
      <c r="S538" s="11"/>
      <c r="T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c r="BU538" s="11"/>
      <c r="BV538" s="11"/>
      <c r="BW538" s="11"/>
      <c r="BX538" s="11"/>
      <c r="BY538" s="11"/>
      <c r="BZ538" s="11"/>
      <c r="CA538" s="11"/>
      <c r="CB538" s="11"/>
      <c r="CC538" s="11"/>
      <c r="CD538" s="11"/>
      <c r="CE538" s="11"/>
      <c r="CF538" s="11"/>
      <c r="CG538" s="11"/>
      <c r="CH538" s="11"/>
      <c r="CI538" s="11"/>
      <c r="CJ538" s="11"/>
      <c r="CK538" s="11"/>
      <c r="CL538" s="11"/>
      <c r="CM538" s="11"/>
      <c r="CN538" s="11"/>
      <c r="CO538" s="11"/>
      <c r="CP538" s="11"/>
      <c r="CQ538" s="11"/>
      <c r="CR538" s="11"/>
      <c r="CS538" s="11"/>
      <c r="CT538" s="11"/>
      <c r="CU538" s="11"/>
      <c r="CV538" s="11"/>
    </row>
    <row r="539" spans="1:100" x14ac:dyDescent="0.55000000000000004">
      <c r="A539" s="30">
        <v>71</v>
      </c>
      <c r="B539" s="17" t="s">
        <v>538</v>
      </c>
      <c r="C539" s="7" t="s">
        <v>1086</v>
      </c>
      <c r="D539" s="7" t="s">
        <v>924</v>
      </c>
      <c r="E539" s="6"/>
      <c r="F539" s="6"/>
      <c r="G539" s="6"/>
      <c r="H539" s="6"/>
      <c r="I539" s="6"/>
      <c r="J539" s="6"/>
      <c r="K539" s="6"/>
      <c r="L539" s="6"/>
      <c r="M539" s="93"/>
      <c r="N539" s="11"/>
      <c r="O539" s="11"/>
      <c r="P539" s="11"/>
      <c r="Q539" s="11"/>
      <c r="R539" s="11"/>
      <c r="S539" s="11"/>
      <c r="T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c r="BU539" s="11"/>
      <c r="BV539" s="11"/>
      <c r="BW539" s="11"/>
      <c r="BX539" s="11"/>
      <c r="BY539" s="11"/>
      <c r="BZ539" s="11"/>
      <c r="CA539" s="11"/>
      <c r="CB539" s="11"/>
      <c r="CC539" s="11"/>
      <c r="CD539" s="11"/>
      <c r="CE539" s="11"/>
      <c r="CF539" s="11"/>
      <c r="CG539" s="11"/>
      <c r="CH539" s="11"/>
      <c r="CI539" s="11"/>
      <c r="CJ539" s="11"/>
      <c r="CK539" s="11"/>
      <c r="CL539" s="11"/>
      <c r="CM539" s="11"/>
      <c r="CN539" s="11"/>
      <c r="CO539" s="11"/>
      <c r="CP539" s="11"/>
      <c r="CQ539" s="11"/>
      <c r="CR539" s="11"/>
      <c r="CS539" s="11"/>
      <c r="CT539" s="11"/>
      <c r="CU539" s="11"/>
      <c r="CV539" s="11"/>
    </row>
    <row r="540" spans="1:100" x14ac:dyDescent="0.55000000000000004">
      <c r="A540" s="30">
        <v>72</v>
      </c>
      <c r="B540" s="17" t="s">
        <v>539</v>
      </c>
      <c r="C540" s="7" t="s">
        <v>1087</v>
      </c>
      <c r="D540" s="7" t="s">
        <v>924</v>
      </c>
      <c r="E540" s="6"/>
      <c r="F540" s="6"/>
      <c r="G540" s="6"/>
      <c r="H540" s="6"/>
      <c r="I540" s="6"/>
      <c r="J540" s="6"/>
      <c r="K540" s="6"/>
      <c r="L540" s="6"/>
      <c r="M540" s="93"/>
      <c r="N540" s="11"/>
      <c r="O540" s="11"/>
      <c r="P540" s="11"/>
      <c r="Q540" s="11"/>
      <c r="R540" s="11"/>
      <c r="S540" s="11"/>
      <c r="T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c r="BU540" s="11"/>
      <c r="BV540" s="11"/>
      <c r="BW540" s="11"/>
      <c r="BX540" s="11"/>
      <c r="BY540" s="11"/>
      <c r="BZ540" s="11"/>
      <c r="CA540" s="11"/>
      <c r="CB540" s="11"/>
      <c r="CC540" s="11"/>
      <c r="CD540" s="11"/>
      <c r="CE540" s="11"/>
      <c r="CF540" s="11"/>
      <c r="CG540" s="11"/>
      <c r="CH540" s="11"/>
      <c r="CI540" s="11"/>
      <c r="CJ540" s="11"/>
      <c r="CK540" s="11"/>
      <c r="CL540" s="11"/>
      <c r="CM540" s="11"/>
      <c r="CN540" s="11"/>
      <c r="CO540" s="11"/>
      <c r="CP540" s="11"/>
      <c r="CQ540" s="11"/>
      <c r="CR540" s="11"/>
      <c r="CS540" s="11"/>
      <c r="CT540" s="11"/>
      <c r="CU540" s="11"/>
      <c r="CV540" s="11"/>
    </row>
    <row r="541" spans="1:100" x14ac:dyDescent="0.55000000000000004">
      <c r="B541" s="20"/>
      <c r="C541" s="18" t="s">
        <v>394</v>
      </c>
      <c r="D541" s="6"/>
      <c r="E541" s="6"/>
      <c r="F541" s="6"/>
      <c r="G541" s="6"/>
      <c r="H541" s="6"/>
      <c r="I541" s="6"/>
      <c r="J541" s="6"/>
      <c r="K541" s="6"/>
      <c r="L541" s="6"/>
      <c r="M541" s="93"/>
      <c r="N541" s="11"/>
      <c r="O541" s="11"/>
      <c r="P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c r="BU541" s="11"/>
      <c r="BV541" s="11"/>
      <c r="BW541" s="11"/>
      <c r="BX541" s="11"/>
      <c r="BY541" s="11"/>
      <c r="BZ541" s="11"/>
      <c r="CA541" s="11"/>
      <c r="CB541" s="11"/>
      <c r="CC541" s="11"/>
      <c r="CD541" s="11"/>
      <c r="CE541" s="11"/>
      <c r="CF541" s="11"/>
      <c r="CG541" s="11"/>
      <c r="CH541" s="11"/>
      <c r="CI541" s="11"/>
      <c r="CJ541" s="11"/>
      <c r="CK541" s="11"/>
      <c r="CL541" s="11"/>
      <c r="CM541" s="11"/>
      <c r="CN541" s="11"/>
      <c r="CO541" s="11"/>
      <c r="CP541" s="11"/>
      <c r="CQ541" s="11"/>
      <c r="CR541" s="11"/>
      <c r="CS541" s="11"/>
      <c r="CT541" s="11"/>
      <c r="CU541" s="11"/>
      <c r="CV541" s="11"/>
    </row>
    <row r="542" spans="1:100" x14ac:dyDescent="0.55000000000000004">
      <c r="B542" s="74" t="s">
        <v>91</v>
      </c>
      <c r="C542" s="18" t="s">
        <v>96</v>
      </c>
      <c r="D542" s="6"/>
      <c r="E542" s="6"/>
      <c r="F542" s="6"/>
      <c r="G542" s="6"/>
      <c r="H542" s="6"/>
      <c r="I542" s="6"/>
      <c r="J542" s="6"/>
      <c r="K542" s="6"/>
      <c r="L542" s="6"/>
      <c r="M542" s="93"/>
      <c r="N542" s="11"/>
      <c r="O542" s="11"/>
      <c r="P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c r="BU542" s="11"/>
      <c r="BV542" s="11"/>
      <c r="BW542" s="11"/>
      <c r="BX542" s="11"/>
      <c r="BY542" s="11"/>
      <c r="BZ542" s="11"/>
      <c r="CA542" s="11"/>
      <c r="CB542" s="11"/>
      <c r="CC542" s="11"/>
      <c r="CD542" s="11"/>
      <c r="CE542" s="11"/>
      <c r="CF542" s="11"/>
      <c r="CG542" s="11"/>
      <c r="CH542" s="11"/>
      <c r="CI542" s="11"/>
      <c r="CJ542" s="11"/>
      <c r="CK542" s="11"/>
      <c r="CL542" s="11"/>
      <c r="CM542" s="11"/>
      <c r="CN542" s="11"/>
      <c r="CO542" s="11"/>
      <c r="CP542" s="11"/>
      <c r="CQ542" s="11"/>
      <c r="CR542" s="11"/>
      <c r="CS542" s="11"/>
      <c r="CT542" s="11"/>
      <c r="CU542" s="11"/>
      <c r="CV542" s="11"/>
    </row>
    <row r="543" spans="1:100" x14ac:dyDescent="0.55000000000000004">
      <c r="B543" s="13" t="s">
        <v>373</v>
      </c>
      <c r="C543" s="7">
        <v>0.45</v>
      </c>
      <c r="D543" s="6"/>
      <c r="E543" s="6"/>
      <c r="F543" s="6"/>
      <c r="G543" s="6"/>
      <c r="H543" s="6"/>
      <c r="I543" s="6"/>
      <c r="J543" s="6"/>
      <c r="K543" s="6"/>
      <c r="L543" s="6"/>
      <c r="M543" s="93"/>
      <c r="N543" s="11"/>
      <c r="O543" s="11"/>
      <c r="P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c r="BU543" s="11"/>
      <c r="BV543" s="11"/>
      <c r="BW543" s="11"/>
      <c r="BX543" s="11"/>
      <c r="BY543" s="11"/>
      <c r="BZ543" s="11"/>
      <c r="CA543" s="11"/>
      <c r="CB543" s="11"/>
      <c r="CC543" s="11"/>
      <c r="CD543" s="11"/>
      <c r="CE543" s="11"/>
      <c r="CF543" s="11"/>
      <c r="CG543" s="11"/>
      <c r="CH543" s="11"/>
      <c r="CI543" s="11"/>
      <c r="CJ543" s="11"/>
      <c r="CK543" s="11"/>
      <c r="CL543" s="11"/>
      <c r="CM543" s="11"/>
      <c r="CN543" s="11"/>
      <c r="CO543" s="11"/>
      <c r="CP543" s="11"/>
      <c r="CQ543" s="11"/>
      <c r="CR543" s="11"/>
      <c r="CS543" s="11"/>
      <c r="CT543" s="11"/>
      <c r="CU543" s="11"/>
      <c r="CV543" s="11"/>
    </row>
    <row r="544" spans="1:100" x14ac:dyDescent="0.55000000000000004">
      <c r="B544" s="13" t="s">
        <v>374</v>
      </c>
      <c r="C544" s="7">
        <v>0.1</v>
      </c>
      <c r="D544" s="6"/>
      <c r="E544" s="6"/>
      <c r="F544" s="6"/>
      <c r="G544" s="6"/>
      <c r="H544" s="6"/>
      <c r="I544" s="6"/>
      <c r="J544" s="6"/>
      <c r="K544" s="6"/>
      <c r="L544" s="6"/>
      <c r="M544" s="93"/>
      <c r="N544" s="11"/>
      <c r="O544" s="11"/>
      <c r="P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c r="BU544" s="11"/>
      <c r="BV544" s="11"/>
      <c r="BW544" s="11"/>
      <c r="BX544" s="11"/>
      <c r="BY544" s="11"/>
      <c r="BZ544" s="11"/>
      <c r="CA544" s="11"/>
      <c r="CB544" s="11"/>
      <c r="CC544" s="11"/>
      <c r="CD544" s="11"/>
      <c r="CE544" s="11"/>
      <c r="CF544" s="11"/>
      <c r="CG544" s="11"/>
      <c r="CH544" s="11"/>
      <c r="CI544" s="11"/>
      <c r="CJ544" s="11"/>
      <c r="CK544" s="11"/>
      <c r="CL544" s="11"/>
      <c r="CM544" s="11"/>
      <c r="CN544" s="11"/>
      <c r="CO544" s="11"/>
      <c r="CP544" s="11"/>
      <c r="CQ544" s="11"/>
      <c r="CR544" s="11"/>
      <c r="CS544" s="11"/>
      <c r="CT544" s="11"/>
      <c r="CU544" s="11"/>
      <c r="CV544" s="11"/>
    </row>
    <row r="545" spans="1:100" x14ac:dyDescent="0.55000000000000004">
      <c r="B545" s="13" t="s">
        <v>375</v>
      </c>
      <c r="C545" s="7">
        <v>0.1</v>
      </c>
      <c r="D545" s="6"/>
      <c r="E545" s="6"/>
      <c r="F545" s="6"/>
      <c r="G545" s="6"/>
      <c r="H545" s="6"/>
      <c r="I545" s="6"/>
      <c r="J545" s="6"/>
      <c r="K545" s="6"/>
      <c r="L545" s="6"/>
      <c r="M545" s="93"/>
      <c r="N545" s="11"/>
      <c r="O545" s="11"/>
      <c r="P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c r="BU545" s="11"/>
      <c r="BV545" s="11"/>
      <c r="BW545" s="11"/>
      <c r="BX545" s="11"/>
      <c r="BY545" s="11"/>
      <c r="BZ545" s="11"/>
      <c r="CA545" s="11"/>
      <c r="CB545" s="11"/>
      <c r="CC545" s="11"/>
      <c r="CD545" s="11"/>
      <c r="CE545" s="11"/>
      <c r="CF545" s="11"/>
      <c r="CG545" s="11"/>
      <c r="CH545" s="11"/>
      <c r="CI545" s="11"/>
      <c r="CJ545" s="11"/>
      <c r="CK545" s="11"/>
      <c r="CL545" s="11"/>
      <c r="CM545" s="11"/>
      <c r="CN545" s="11"/>
      <c r="CO545" s="11"/>
      <c r="CP545" s="11"/>
      <c r="CQ545" s="11"/>
      <c r="CR545" s="11"/>
      <c r="CS545" s="11"/>
      <c r="CT545" s="11"/>
      <c r="CU545" s="11"/>
      <c r="CV545" s="11"/>
    </row>
    <row r="546" spans="1:100" x14ac:dyDescent="0.55000000000000004">
      <c r="B546" s="13" t="s">
        <v>187</v>
      </c>
      <c r="C546" s="7">
        <v>0.45</v>
      </c>
      <c r="D546" s="6"/>
      <c r="E546" s="6"/>
      <c r="F546" s="6"/>
      <c r="G546" s="6"/>
      <c r="H546" s="6"/>
      <c r="I546" s="6"/>
      <c r="J546" s="6"/>
      <c r="K546" s="6"/>
      <c r="L546" s="6"/>
      <c r="M546" s="93"/>
      <c r="N546" s="11"/>
      <c r="O546" s="11"/>
      <c r="P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c r="BU546" s="11"/>
      <c r="BV546" s="11"/>
      <c r="BW546" s="11"/>
      <c r="BX546" s="11"/>
      <c r="BY546" s="11"/>
      <c r="BZ546" s="11"/>
      <c r="CA546" s="11"/>
      <c r="CB546" s="11"/>
      <c r="CC546" s="11"/>
      <c r="CD546" s="11"/>
      <c r="CE546" s="11"/>
      <c r="CF546" s="11"/>
      <c r="CG546" s="11"/>
      <c r="CH546" s="11"/>
      <c r="CI546" s="11"/>
      <c r="CJ546" s="11"/>
      <c r="CK546" s="11"/>
      <c r="CL546" s="11"/>
      <c r="CM546" s="11"/>
      <c r="CN546" s="11"/>
      <c r="CO546" s="11"/>
      <c r="CP546" s="11"/>
      <c r="CQ546" s="11"/>
      <c r="CR546" s="11"/>
      <c r="CS546" s="11"/>
      <c r="CT546" s="11"/>
      <c r="CU546" s="11"/>
      <c r="CV546" s="11"/>
    </row>
    <row r="547" spans="1:100" x14ac:dyDescent="0.55000000000000004">
      <c r="B547" s="13" t="s">
        <v>788</v>
      </c>
      <c r="C547" s="7" t="s">
        <v>924</v>
      </c>
      <c r="D547" s="6"/>
      <c r="E547" s="6"/>
      <c r="F547" s="6"/>
      <c r="G547" s="6"/>
      <c r="H547" s="6"/>
      <c r="I547" s="6"/>
      <c r="J547" s="6"/>
      <c r="K547" s="6"/>
      <c r="L547" s="6"/>
      <c r="M547" s="93"/>
      <c r="N547" s="11"/>
      <c r="O547" s="11"/>
      <c r="P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c r="BU547" s="11"/>
      <c r="BV547" s="11"/>
      <c r="BW547" s="11"/>
      <c r="BX547" s="11"/>
      <c r="BY547" s="11"/>
      <c r="BZ547" s="11"/>
      <c r="CA547" s="11"/>
      <c r="CB547" s="11"/>
      <c r="CC547" s="11"/>
      <c r="CD547" s="11"/>
      <c r="CE547" s="11"/>
      <c r="CF547" s="11"/>
      <c r="CG547" s="11"/>
      <c r="CH547" s="11"/>
      <c r="CI547" s="11"/>
      <c r="CJ547" s="11"/>
      <c r="CK547" s="11"/>
      <c r="CL547" s="11"/>
      <c r="CM547" s="11"/>
      <c r="CN547" s="11"/>
      <c r="CO547" s="11"/>
      <c r="CP547" s="11"/>
      <c r="CQ547" s="11"/>
      <c r="CR547" s="11"/>
      <c r="CS547" s="11"/>
      <c r="CT547" s="11"/>
      <c r="CU547" s="11"/>
      <c r="CV547" s="11"/>
    </row>
    <row r="548" spans="1:100" x14ac:dyDescent="0.55000000000000004">
      <c r="B548" s="13" t="s">
        <v>789</v>
      </c>
      <c r="C548" s="7" t="s">
        <v>924</v>
      </c>
      <c r="D548" s="6"/>
      <c r="E548" s="6"/>
      <c r="F548" s="6"/>
      <c r="G548" s="6"/>
      <c r="H548" s="6"/>
      <c r="I548" s="6"/>
      <c r="J548" s="6"/>
      <c r="K548" s="6"/>
      <c r="L548" s="6"/>
      <c r="M548" s="93"/>
      <c r="N548" s="11"/>
      <c r="O548" s="11"/>
      <c r="P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c r="BU548" s="11"/>
      <c r="BV548" s="11"/>
      <c r="BW548" s="11"/>
      <c r="BX548" s="11"/>
      <c r="BY548" s="11"/>
      <c r="BZ548" s="11"/>
      <c r="CA548" s="11"/>
      <c r="CB548" s="11"/>
      <c r="CC548" s="11"/>
      <c r="CD548" s="11"/>
      <c r="CE548" s="11"/>
      <c r="CF548" s="11"/>
      <c r="CG548" s="11"/>
      <c r="CH548" s="11"/>
      <c r="CI548" s="11"/>
      <c r="CJ548" s="11"/>
      <c r="CK548" s="11"/>
      <c r="CL548" s="11"/>
      <c r="CM548" s="11"/>
      <c r="CN548" s="11"/>
      <c r="CO548" s="11"/>
      <c r="CP548" s="11"/>
      <c r="CQ548" s="11"/>
      <c r="CR548" s="11"/>
      <c r="CS548" s="11"/>
      <c r="CT548" s="11"/>
      <c r="CU548" s="11"/>
      <c r="CV548" s="11"/>
    </row>
    <row r="549" spans="1:100" x14ac:dyDescent="0.55000000000000004">
      <c r="B549" s="21"/>
      <c r="C549" s="18" t="s">
        <v>394</v>
      </c>
      <c r="D549" s="6"/>
      <c r="E549" s="6"/>
      <c r="F549" s="6"/>
      <c r="G549" s="6"/>
      <c r="H549" s="6"/>
      <c r="I549" s="6"/>
      <c r="J549" s="6"/>
      <c r="K549" s="6"/>
      <c r="L549" s="6"/>
      <c r="M549" s="93"/>
      <c r="N549" s="11"/>
      <c r="O549" s="11"/>
      <c r="P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c r="BU549" s="11"/>
      <c r="BV549" s="11"/>
      <c r="BW549" s="11"/>
      <c r="BX549" s="11"/>
      <c r="BY549" s="11"/>
      <c r="BZ549" s="11"/>
      <c r="CA549" s="11"/>
      <c r="CB549" s="11"/>
      <c r="CC549" s="11"/>
      <c r="CD549" s="11"/>
      <c r="CE549" s="11"/>
      <c r="CF549" s="11"/>
      <c r="CG549" s="11"/>
      <c r="CH549" s="11"/>
      <c r="CI549" s="11"/>
      <c r="CJ549" s="11"/>
      <c r="CK549" s="11"/>
      <c r="CL549" s="11"/>
      <c r="CM549" s="11"/>
      <c r="CN549" s="11"/>
      <c r="CO549" s="11"/>
      <c r="CP549" s="11"/>
      <c r="CQ549" s="11"/>
      <c r="CR549" s="11"/>
      <c r="CS549" s="11"/>
      <c r="CT549" s="11"/>
      <c r="CU549" s="11"/>
      <c r="CV549" s="11"/>
    </row>
    <row r="550" spans="1:100" x14ac:dyDescent="0.55000000000000004">
      <c r="B550" s="74" t="s">
        <v>182</v>
      </c>
      <c r="C550" s="18" t="s">
        <v>115</v>
      </c>
      <c r="D550" s="6"/>
      <c r="E550" s="6"/>
      <c r="F550" s="6"/>
      <c r="G550" s="6"/>
      <c r="H550" s="6"/>
      <c r="I550" s="6"/>
      <c r="J550" s="6"/>
      <c r="K550" s="6"/>
      <c r="L550" s="6"/>
      <c r="M550" s="93"/>
      <c r="N550" s="11"/>
      <c r="O550" s="11"/>
      <c r="P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c r="BU550" s="11"/>
      <c r="BV550" s="11"/>
      <c r="BW550" s="11"/>
      <c r="BX550" s="11"/>
      <c r="BY550" s="11"/>
      <c r="BZ550" s="11"/>
      <c r="CA550" s="11"/>
      <c r="CB550" s="11"/>
      <c r="CC550" s="11"/>
      <c r="CD550" s="11"/>
      <c r="CE550" s="11"/>
      <c r="CF550" s="11"/>
      <c r="CG550" s="11"/>
      <c r="CH550" s="11"/>
      <c r="CI550" s="11"/>
      <c r="CJ550" s="11"/>
      <c r="CK550" s="11"/>
      <c r="CL550" s="11"/>
      <c r="CM550" s="11"/>
      <c r="CN550" s="11"/>
      <c r="CO550" s="11"/>
      <c r="CP550" s="11"/>
      <c r="CQ550" s="11"/>
      <c r="CR550" s="11"/>
      <c r="CS550" s="11"/>
      <c r="CT550" s="11"/>
      <c r="CU550" s="11"/>
      <c r="CV550" s="11"/>
    </row>
    <row r="551" spans="1:100" x14ac:dyDescent="0.55000000000000004">
      <c r="B551" s="13" t="s">
        <v>376</v>
      </c>
      <c r="C551" s="7">
        <v>0.2</v>
      </c>
      <c r="D551" s="6"/>
      <c r="E551" s="6"/>
      <c r="F551" s="6"/>
      <c r="G551" s="6"/>
      <c r="H551" s="6"/>
      <c r="I551" s="6"/>
      <c r="J551" s="6"/>
      <c r="K551" s="6"/>
      <c r="L551" s="6"/>
      <c r="M551" s="93"/>
      <c r="N551" s="11"/>
      <c r="O551" s="11"/>
      <c r="P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c r="BU551" s="11"/>
      <c r="BV551" s="11"/>
      <c r="BW551" s="11"/>
      <c r="BX551" s="11"/>
      <c r="BY551" s="11"/>
      <c r="BZ551" s="11"/>
      <c r="CA551" s="11"/>
      <c r="CB551" s="11"/>
      <c r="CC551" s="11"/>
      <c r="CD551" s="11"/>
      <c r="CE551" s="11"/>
      <c r="CF551" s="11"/>
      <c r="CG551" s="11"/>
      <c r="CH551" s="11"/>
      <c r="CI551" s="11"/>
      <c r="CJ551" s="11"/>
      <c r="CK551" s="11"/>
      <c r="CL551" s="11"/>
      <c r="CM551" s="11"/>
      <c r="CN551" s="11"/>
      <c r="CO551" s="11"/>
      <c r="CP551" s="11"/>
      <c r="CQ551" s="11"/>
      <c r="CR551" s="11"/>
      <c r="CS551" s="11"/>
      <c r="CT551" s="11"/>
      <c r="CU551" s="11"/>
      <c r="CV551" s="11"/>
    </row>
    <row r="552" spans="1:100" x14ac:dyDescent="0.55000000000000004">
      <c r="B552" s="21"/>
      <c r="C552" s="18" t="s">
        <v>394</v>
      </c>
      <c r="D552" s="6"/>
      <c r="E552" s="6"/>
      <c r="F552" s="6"/>
      <c r="G552" s="6"/>
      <c r="H552" s="6"/>
      <c r="I552" s="6"/>
      <c r="J552" s="6"/>
      <c r="K552" s="6"/>
      <c r="L552" s="6"/>
      <c r="M552" s="93"/>
      <c r="N552" s="11"/>
      <c r="O552" s="11"/>
      <c r="P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c r="BU552" s="11"/>
      <c r="BV552" s="11"/>
      <c r="BW552" s="11"/>
      <c r="BX552" s="11"/>
      <c r="BY552" s="11"/>
      <c r="BZ552" s="11"/>
      <c r="CA552" s="11"/>
      <c r="CB552" s="11"/>
      <c r="CC552" s="11"/>
      <c r="CD552" s="11"/>
      <c r="CE552" s="11"/>
      <c r="CF552" s="11"/>
      <c r="CG552" s="11"/>
      <c r="CH552" s="11"/>
      <c r="CI552" s="11"/>
      <c r="CJ552" s="11"/>
      <c r="CK552" s="11"/>
      <c r="CL552" s="11"/>
      <c r="CM552" s="11"/>
      <c r="CN552" s="11"/>
      <c r="CO552" s="11"/>
      <c r="CP552" s="11"/>
      <c r="CQ552" s="11"/>
      <c r="CR552" s="11"/>
      <c r="CS552" s="11"/>
      <c r="CT552" s="11"/>
      <c r="CU552" s="11"/>
      <c r="CV552" s="11"/>
    </row>
    <row r="553" spans="1:100" x14ac:dyDescent="0.55000000000000004">
      <c r="B553" s="74" t="s">
        <v>183</v>
      </c>
      <c r="C553" s="18" t="s">
        <v>116</v>
      </c>
      <c r="D553" s="6"/>
      <c r="E553" s="6"/>
      <c r="F553" s="6"/>
      <c r="G553" s="6"/>
      <c r="H553" s="6"/>
      <c r="I553" s="6"/>
      <c r="J553" s="6"/>
      <c r="K553" s="6"/>
      <c r="L553" s="6"/>
      <c r="M553" s="93"/>
      <c r="N553" s="11"/>
      <c r="O553" s="11"/>
      <c r="P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c r="BU553" s="11"/>
      <c r="BV553" s="11"/>
      <c r="BW553" s="11"/>
      <c r="BX553" s="11"/>
      <c r="BY553" s="11"/>
      <c r="BZ553" s="11"/>
      <c r="CA553" s="11"/>
      <c r="CB553" s="11"/>
      <c r="CC553" s="11"/>
      <c r="CD553" s="11"/>
      <c r="CE553" s="11"/>
      <c r="CF553" s="11"/>
      <c r="CG553" s="11"/>
      <c r="CH553" s="11"/>
      <c r="CI553" s="11"/>
      <c r="CJ553" s="11"/>
      <c r="CK553" s="11"/>
      <c r="CL553" s="11"/>
      <c r="CM553" s="11"/>
      <c r="CN553" s="11"/>
      <c r="CO553" s="11"/>
      <c r="CP553" s="11"/>
      <c r="CQ553" s="11"/>
      <c r="CR553" s="11"/>
      <c r="CS553" s="11"/>
      <c r="CT553" s="11"/>
      <c r="CU553" s="11"/>
      <c r="CV553" s="11"/>
    </row>
    <row r="554" spans="1:100" x14ac:dyDescent="0.55000000000000004">
      <c r="A554" s="34"/>
      <c r="B554" s="13" t="s">
        <v>377</v>
      </c>
      <c r="C554" s="7">
        <v>0.2</v>
      </c>
      <c r="D554" s="6"/>
      <c r="E554" s="6"/>
      <c r="F554" s="6"/>
      <c r="G554" s="6"/>
      <c r="H554" s="6"/>
      <c r="I554" s="6"/>
      <c r="J554" s="6"/>
      <c r="K554" s="6"/>
      <c r="L554" s="6"/>
      <c r="M554" s="93"/>
      <c r="N554" s="11"/>
      <c r="O554" s="11"/>
      <c r="P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c r="BU554" s="11"/>
      <c r="BV554" s="11"/>
      <c r="BW554" s="11"/>
      <c r="BX554" s="11"/>
      <c r="BY554" s="11"/>
      <c r="BZ554" s="11"/>
      <c r="CA554" s="11"/>
      <c r="CB554" s="11"/>
      <c r="CC554" s="11"/>
      <c r="CD554" s="11"/>
      <c r="CE554" s="11"/>
      <c r="CF554" s="11"/>
      <c r="CG554" s="11"/>
      <c r="CH554" s="11"/>
      <c r="CI554" s="11"/>
      <c r="CJ554" s="11"/>
      <c r="CK554" s="11"/>
      <c r="CL554" s="11"/>
      <c r="CM554" s="11"/>
      <c r="CN554" s="11"/>
      <c r="CO554" s="11"/>
      <c r="CP554" s="11"/>
      <c r="CQ554" s="11"/>
      <c r="CR554" s="11"/>
      <c r="CS554" s="11"/>
      <c r="CT554" s="11"/>
      <c r="CU554" s="11"/>
      <c r="CV554" s="11"/>
    </row>
    <row r="555" spans="1:100" x14ac:dyDescent="0.55000000000000004">
      <c r="B555" s="21"/>
      <c r="C555" s="18" t="s">
        <v>394</v>
      </c>
      <c r="D555" s="6"/>
      <c r="E555" s="6"/>
      <c r="F555" s="6"/>
      <c r="G555" s="6"/>
      <c r="H555" s="6"/>
      <c r="I555" s="6"/>
      <c r="J555" s="6"/>
      <c r="K555" s="6"/>
      <c r="L555" s="6"/>
      <c r="M555" s="93"/>
      <c r="N555" s="11"/>
      <c r="O555" s="11"/>
      <c r="P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c r="BU555" s="11"/>
      <c r="BV555" s="11"/>
      <c r="BW555" s="11"/>
      <c r="BX555" s="11"/>
      <c r="BY555" s="11"/>
      <c r="BZ555" s="11"/>
      <c r="CA555" s="11"/>
      <c r="CB555" s="11"/>
      <c r="CC555" s="11"/>
      <c r="CD555" s="11"/>
      <c r="CE555" s="11"/>
      <c r="CF555" s="11"/>
      <c r="CG555" s="11"/>
      <c r="CH555" s="11"/>
      <c r="CI555" s="11"/>
      <c r="CJ555" s="11"/>
      <c r="CK555" s="11"/>
      <c r="CL555" s="11"/>
      <c r="CM555" s="11"/>
      <c r="CN555" s="11"/>
      <c r="CO555" s="11"/>
      <c r="CP555" s="11"/>
      <c r="CQ555" s="11"/>
      <c r="CR555" s="11"/>
      <c r="CS555" s="11"/>
      <c r="CT555" s="11"/>
      <c r="CU555" s="11"/>
      <c r="CV555" s="11"/>
    </row>
    <row r="556" spans="1:100" x14ac:dyDescent="0.55000000000000004">
      <c r="B556" s="74" t="s">
        <v>184</v>
      </c>
      <c r="C556" s="18" t="s">
        <v>117</v>
      </c>
      <c r="D556" s="6"/>
      <c r="E556" s="6"/>
      <c r="F556" s="6"/>
      <c r="G556" s="6"/>
      <c r="H556" s="6"/>
      <c r="I556" s="6"/>
      <c r="J556" s="6"/>
      <c r="K556" s="6"/>
      <c r="L556" s="6"/>
      <c r="M556" s="93"/>
      <c r="N556" s="11"/>
      <c r="O556" s="11"/>
      <c r="P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c r="BU556" s="11"/>
      <c r="BV556" s="11"/>
      <c r="BW556" s="11"/>
      <c r="BX556" s="11"/>
      <c r="BY556" s="11"/>
      <c r="BZ556" s="11"/>
      <c r="CA556" s="11"/>
      <c r="CB556" s="11"/>
      <c r="CC556" s="11"/>
      <c r="CD556" s="11"/>
      <c r="CE556" s="11"/>
      <c r="CF556" s="11"/>
      <c r="CG556" s="11"/>
      <c r="CH556" s="11"/>
      <c r="CI556" s="11"/>
      <c r="CJ556" s="11"/>
      <c r="CK556" s="11"/>
      <c r="CL556" s="11"/>
      <c r="CM556" s="11"/>
      <c r="CN556" s="11"/>
      <c r="CO556" s="11"/>
      <c r="CP556" s="11"/>
      <c r="CQ556" s="11"/>
      <c r="CR556" s="11"/>
      <c r="CS556" s="11"/>
      <c r="CT556" s="11"/>
      <c r="CU556" s="11"/>
      <c r="CV556" s="11"/>
    </row>
    <row r="557" spans="1:100" x14ac:dyDescent="0.55000000000000004">
      <c r="B557" s="13" t="s">
        <v>378</v>
      </c>
      <c r="C557" s="7">
        <v>0.01</v>
      </c>
      <c r="D557" s="6"/>
      <c r="E557" s="6"/>
      <c r="F557" s="6"/>
      <c r="G557" s="6"/>
      <c r="H557" s="6"/>
      <c r="I557" s="6"/>
      <c r="J557" s="6"/>
      <c r="K557" s="6"/>
      <c r="L557" s="6"/>
      <c r="M557" s="93"/>
      <c r="N557" s="11"/>
      <c r="O557" s="11"/>
      <c r="P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c r="BU557" s="11"/>
      <c r="BV557" s="11"/>
      <c r="BW557" s="11"/>
      <c r="BX557" s="11"/>
      <c r="BY557" s="11"/>
      <c r="BZ557" s="11"/>
      <c r="CA557" s="11"/>
      <c r="CB557" s="11"/>
      <c r="CC557" s="11"/>
      <c r="CD557" s="11"/>
      <c r="CE557" s="11"/>
      <c r="CF557" s="11"/>
      <c r="CG557" s="11"/>
      <c r="CH557" s="11"/>
      <c r="CI557" s="11"/>
      <c r="CJ557" s="11"/>
      <c r="CK557" s="11"/>
      <c r="CL557" s="11"/>
      <c r="CM557" s="11"/>
      <c r="CN557" s="11"/>
      <c r="CO557" s="11"/>
      <c r="CP557" s="11"/>
      <c r="CQ557" s="11"/>
      <c r="CR557" s="11"/>
      <c r="CS557" s="11"/>
      <c r="CT557" s="11"/>
      <c r="CU557" s="11"/>
      <c r="CV557" s="11"/>
    </row>
    <row r="558" spans="1:100" x14ac:dyDescent="0.55000000000000004">
      <c r="B558" s="21"/>
      <c r="C558" s="18" t="s">
        <v>394</v>
      </c>
      <c r="D558" s="6"/>
      <c r="E558" s="6"/>
      <c r="F558" s="6"/>
      <c r="G558" s="6"/>
      <c r="H558" s="6"/>
      <c r="I558" s="6"/>
      <c r="J558" s="6"/>
      <c r="K558" s="6"/>
      <c r="L558" s="6"/>
      <c r="M558" s="93"/>
      <c r="N558" s="11"/>
      <c r="O558" s="11"/>
      <c r="P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c r="BU558" s="11"/>
      <c r="BV558" s="11"/>
      <c r="BW558" s="11"/>
      <c r="BX558" s="11"/>
      <c r="BY558" s="11"/>
      <c r="BZ558" s="11"/>
      <c r="CA558" s="11"/>
      <c r="CB558" s="11"/>
      <c r="CC558" s="11"/>
      <c r="CD558" s="11"/>
      <c r="CE558" s="11"/>
      <c r="CF558" s="11"/>
      <c r="CG558" s="11"/>
      <c r="CH558" s="11"/>
      <c r="CI558" s="11"/>
      <c r="CJ558" s="11"/>
      <c r="CK558" s="11"/>
      <c r="CL558" s="11"/>
      <c r="CM558" s="11"/>
      <c r="CN558" s="11"/>
      <c r="CO558" s="11"/>
      <c r="CP558" s="11"/>
      <c r="CQ558" s="11"/>
      <c r="CR558" s="11"/>
      <c r="CS558" s="11"/>
      <c r="CT558" s="11"/>
      <c r="CU558" s="11"/>
      <c r="CV558" s="11"/>
    </row>
    <row r="559" spans="1:100" x14ac:dyDescent="0.55000000000000004">
      <c r="B559" s="74" t="s">
        <v>185</v>
      </c>
      <c r="C559" s="18" t="s">
        <v>1088</v>
      </c>
      <c r="D559" s="6"/>
      <c r="E559" s="6"/>
      <c r="F559" s="6"/>
      <c r="G559" s="6"/>
      <c r="H559" s="6"/>
      <c r="I559" s="6"/>
      <c r="J559" s="6"/>
      <c r="K559" s="6"/>
      <c r="L559" s="6"/>
      <c r="M559" s="93"/>
      <c r="N559" s="11"/>
      <c r="O559" s="11"/>
      <c r="P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c r="BU559" s="11"/>
      <c r="BV559" s="11"/>
      <c r="BW559" s="11"/>
      <c r="BX559" s="11"/>
      <c r="BY559" s="11"/>
      <c r="BZ559" s="11"/>
      <c r="CA559" s="11"/>
      <c r="CB559" s="11"/>
      <c r="CC559" s="11"/>
      <c r="CD559" s="11"/>
      <c r="CE559" s="11"/>
      <c r="CF559" s="11"/>
      <c r="CG559" s="11"/>
      <c r="CH559" s="11"/>
      <c r="CI559" s="11"/>
      <c r="CJ559" s="11"/>
      <c r="CK559" s="11"/>
      <c r="CL559" s="11"/>
      <c r="CM559" s="11"/>
      <c r="CN559" s="11"/>
      <c r="CO559" s="11"/>
      <c r="CP559" s="11"/>
      <c r="CQ559" s="11"/>
      <c r="CR559" s="11"/>
      <c r="CS559" s="11"/>
      <c r="CT559" s="11"/>
      <c r="CU559" s="11"/>
      <c r="CV559" s="11"/>
    </row>
    <row r="560" spans="1:100" x14ac:dyDescent="0.55000000000000004">
      <c r="B560" s="13" t="s">
        <v>1186</v>
      </c>
      <c r="C560" s="7">
        <v>0</v>
      </c>
      <c r="D560" s="6"/>
      <c r="E560" s="6"/>
      <c r="F560" s="6"/>
      <c r="G560" s="6"/>
      <c r="H560" s="6"/>
      <c r="I560" s="6"/>
      <c r="J560" s="6"/>
      <c r="K560" s="6"/>
      <c r="L560" s="6"/>
      <c r="M560" s="93"/>
      <c r="N560" s="11"/>
      <c r="O560" s="11"/>
      <c r="P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c r="BU560" s="11"/>
      <c r="BV560" s="11"/>
      <c r="BW560" s="11"/>
      <c r="BX560" s="11"/>
      <c r="BY560" s="11"/>
      <c r="BZ560" s="11"/>
      <c r="CA560" s="11"/>
      <c r="CB560" s="11"/>
      <c r="CC560" s="11"/>
      <c r="CD560" s="11"/>
      <c r="CE560" s="11"/>
      <c r="CF560" s="11"/>
      <c r="CG560" s="11"/>
      <c r="CH560" s="11"/>
      <c r="CI560" s="11"/>
      <c r="CJ560" s="11"/>
      <c r="CK560" s="11"/>
      <c r="CL560" s="11"/>
      <c r="CM560" s="11"/>
      <c r="CN560" s="11"/>
      <c r="CO560" s="11"/>
      <c r="CP560" s="11"/>
      <c r="CQ560" s="11"/>
      <c r="CR560" s="11"/>
      <c r="CS560" s="11"/>
      <c r="CT560" s="11"/>
      <c r="CU560" s="11"/>
      <c r="CV560" s="11"/>
    </row>
    <row r="561" spans="2:100" x14ac:dyDescent="0.55000000000000004">
      <c r="B561" s="13" t="s">
        <v>780</v>
      </c>
      <c r="C561" s="7">
        <v>0</v>
      </c>
      <c r="D561" s="6"/>
      <c r="E561" s="6"/>
      <c r="F561" s="6"/>
      <c r="G561" s="6"/>
      <c r="H561" s="6"/>
      <c r="I561" s="6"/>
      <c r="J561" s="6"/>
      <c r="K561" s="6"/>
      <c r="L561" s="6"/>
      <c r="M561" s="93"/>
      <c r="N561" s="11"/>
      <c r="O561" s="11"/>
      <c r="P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c r="BU561" s="11"/>
      <c r="BV561" s="11"/>
      <c r="BW561" s="11"/>
      <c r="BX561" s="11"/>
      <c r="BY561" s="11"/>
      <c r="BZ561" s="11"/>
      <c r="CA561" s="11"/>
      <c r="CB561" s="11"/>
      <c r="CC561" s="11"/>
      <c r="CD561" s="11"/>
      <c r="CE561" s="11"/>
      <c r="CF561" s="11"/>
      <c r="CG561" s="11"/>
      <c r="CH561" s="11"/>
      <c r="CI561" s="11"/>
      <c r="CJ561" s="11"/>
      <c r="CK561" s="11"/>
      <c r="CL561" s="11"/>
      <c r="CM561" s="11"/>
      <c r="CN561" s="11"/>
      <c r="CO561" s="11"/>
      <c r="CP561" s="11"/>
      <c r="CQ561" s="11"/>
      <c r="CR561" s="11"/>
      <c r="CS561" s="11"/>
      <c r="CT561" s="11"/>
      <c r="CU561" s="11"/>
      <c r="CV561" s="11"/>
    </row>
    <row r="562" spans="2:100" x14ac:dyDescent="0.55000000000000004">
      <c r="B562" s="13" t="s">
        <v>781</v>
      </c>
      <c r="C562" s="7">
        <v>0</v>
      </c>
      <c r="D562" s="6"/>
      <c r="E562" s="6"/>
      <c r="F562" s="6"/>
      <c r="G562" s="6"/>
      <c r="H562" s="6"/>
      <c r="I562" s="6"/>
      <c r="J562" s="6"/>
      <c r="K562" s="6"/>
      <c r="L562" s="6"/>
      <c r="M562" s="93"/>
      <c r="N562" s="11"/>
      <c r="O562" s="11"/>
      <c r="P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c r="BU562" s="11"/>
      <c r="BV562" s="11"/>
      <c r="BW562" s="11"/>
      <c r="BX562" s="11"/>
      <c r="BY562" s="11"/>
      <c r="BZ562" s="11"/>
      <c r="CA562" s="11"/>
      <c r="CB562" s="11"/>
      <c r="CC562" s="11"/>
      <c r="CD562" s="11"/>
      <c r="CE562" s="11"/>
      <c r="CF562" s="11"/>
      <c r="CG562" s="11"/>
      <c r="CH562" s="11"/>
      <c r="CI562" s="11"/>
      <c r="CJ562" s="11"/>
      <c r="CK562" s="11"/>
      <c r="CL562" s="11"/>
      <c r="CM562" s="11"/>
      <c r="CN562" s="11"/>
      <c r="CO562" s="11"/>
      <c r="CP562" s="11"/>
      <c r="CQ562" s="11"/>
      <c r="CR562" s="11"/>
      <c r="CS562" s="11"/>
      <c r="CT562" s="11"/>
      <c r="CU562" s="11"/>
      <c r="CV562" s="11"/>
    </row>
    <row r="563" spans="2:100" x14ac:dyDescent="0.55000000000000004">
      <c r="B563" s="13" t="s">
        <v>782</v>
      </c>
      <c r="C563" s="7">
        <v>0</v>
      </c>
      <c r="D563" s="6"/>
      <c r="E563" s="6"/>
      <c r="F563" s="6"/>
      <c r="G563" s="6"/>
      <c r="H563" s="6"/>
      <c r="I563" s="6"/>
      <c r="J563" s="6"/>
      <c r="K563" s="6"/>
      <c r="L563" s="6"/>
      <c r="M563" s="93"/>
      <c r="N563" s="11"/>
      <c r="O563" s="11"/>
      <c r="P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c r="BU563" s="11"/>
      <c r="BV563" s="11"/>
      <c r="BW563" s="11"/>
      <c r="BX563" s="11"/>
      <c r="BY563" s="11"/>
      <c r="BZ563" s="11"/>
      <c r="CA563" s="11"/>
      <c r="CB563" s="11"/>
      <c r="CC563" s="11"/>
      <c r="CD563" s="11"/>
      <c r="CE563" s="11"/>
      <c r="CF563" s="11"/>
      <c r="CG563" s="11"/>
      <c r="CH563" s="11"/>
      <c r="CI563" s="11"/>
      <c r="CJ563" s="11"/>
      <c r="CK563" s="11"/>
      <c r="CL563" s="11"/>
      <c r="CM563" s="11"/>
      <c r="CN563" s="11"/>
      <c r="CO563" s="11"/>
      <c r="CP563" s="11"/>
      <c r="CQ563" s="11"/>
      <c r="CR563" s="11"/>
      <c r="CS563" s="11"/>
      <c r="CT563" s="11"/>
      <c r="CU563" s="11"/>
      <c r="CV563" s="11"/>
    </row>
    <row r="564" spans="2:100" x14ac:dyDescent="0.55000000000000004">
      <c r="B564" s="13" t="s">
        <v>783</v>
      </c>
      <c r="C564" s="7">
        <v>0</v>
      </c>
      <c r="D564" s="6"/>
      <c r="E564" s="6"/>
      <c r="F564" s="6"/>
      <c r="G564" s="6"/>
      <c r="H564" s="6"/>
      <c r="I564" s="6"/>
      <c r="J564" s="6"/>
      <c r="K564" s="6"/>
      <c r="L564" s="6"/>
      <c r="M564" s="93"/>
      <c r="N564" s="11"/>
      <c r="O564" s="11"/>
      <c r="P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c r="BU564" s="11"/>
      <c r="BV564" s="11"/>
      <c r="BW564" s="11"/>
      <c r="BX564" s="11"/>
      <c r="BY564" s="11"/>
      <c r="BZ564" s="11"/>
      <c r="CA564" s="11"/>
      <c r="CB564" s="11"/>
      <c r="CC564" s="11"/>
      <c r="CD564" s="11"/>
      <c r="CE564" s="11"/>
      <c r="CF564" s="11"/>
      <c r="CG564" s="11"/>
      <c r="CH564" s="11"/>
      <c r="CI564" s="11"/>
      <c r="CJ564" s="11"/>
      <c r="CK564" s="11"/>
      <c r="CL564" s="11"/>
      <c r="CM564" s="11"/>
      <c r="CN564" s="11"/>
      <c r="CO564" s="11"/>
      <c r="CP564" s="11"/>
      <c r="CQ564" s="11"/>
      <c r="CR564" s="11"/>
      <c r="CS564" s="11"/>
      <c r="CT564" s="11"/>
      <c r="CU564" s="11"/>
      <c r="CV564" s="11"/>
    </row>
    <row r="565" spans="2:100" x14ac:dyDescent="0.55000000000000004">
      <c r="B565" s="13" t="s">
        <v>784</v>
      </c>
      <c r="C565" s="7">
        <v>0</v>
      </c>
      <c r="D565" s="6"/>
      <c r="E565" s="6"/>
      <c r="F565" s="6"/>
      <c r="G565" s="6"/>
      <c r="H565" s="6"/>
      <c r="I565" s="6"/>
      <c r="J565" s="6"/>
      <c r="K565" s="6"/>
      <c r="L565" s="6"/>
      <c r="M565" s="93"/>
      <c r="N565" s="11"/>
      <c r="O565" s="11"/>
      <c r="P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c r="BU565" s="11"/>
      <c r="BV565" s="11"/>
      <c r="BW565" s="11"/>
      <c r="BX565" s="11"/>
      <c r="BY565" s="11"/>
      <c r="BZ565" s="11"/>
      <c r="CA565" s="11"/>
      <c r="CB565" s="11"/>
      <c r="CC565" s="11"/>
      <c r="CD565" s="11"/>
      <c r="CE565" s="11"/>
      <c r="CF565" s="11"/>
      <c r="CG565" s="11"/>
      <c r="CH565" s="11"/>
      <c r="CI565" s="11"/>
      <c r="CJ565" s="11"/>
      <c r="CK565" s="11"/>
      <c r="CL565" s="11"/>
      <c r="CM565" s="11"/>
      <c r="CN565" s="11"/>
      <c r="CO565" s="11"/>
      <c r="CP565" s="11"/>
      <c r="CQ565" s="11"/>
      <c r="CR565" s="11"/>
      <c r="CS565" s="11"/>
      <c r="CT565" s="11"/>
      <c r="CU565" s="11"/>
      <c r="CV565" s="11"/>
    </row>
    <row r="566" spans="2:100" x14ac:dyDescent="0.55000000000000004">
      <c r="B566" s="13" t="s">
        <v>785</v>
      </c>
      <c r="C566" s="7">
        <v>0</v>
      </c>
      <c r="D566" s="6"/>
      <c r="E566" s="6"/>
      <c r="F566" s="6"/>
      <c r="G566" s="6"/>
      <c r="H566" s="6"/>
      <c r="I566" s="6"/>
      <c r="J566" s="6"/>
      <c r="K566" s="6"/>
      <c r="L566" s="6"/>
      <c r="M566" s="93"/>
      <c r="N566" s="11"/>
      <c r="O566" s="11"/>
      <c r="P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c r="BU566" s="11"/>
      <c r="BV566" s="11"/>
      <c r="BW566" s="11"/>
      <c r="BX566" s="11"/>
      <c r="BY566" s="11"/>
      <c r="BZ566" s="11"/>
      <c r="CA566" s="11"/>
      <c r="CB566" s="11"/>
      <c r="CC566" s="11"/>
      <c r="CD566" s="11"/>
      <c r="CE566" s="11"/>
      <c r="CF566" s="11"/>
      <c r="CG566" s="11"/>
      <c r="CH566" s="11"/>
      <c r="CI566" s="11"/>
      <c r="CJ566" s="11"/>
      <c r="CK566" s="11"/>
      <c r="CL566" s="11"/>
      <c r="CM566" s="11"/>
      <c r="CN566" s="11"/>
      <c r="CO566" s="11"/>
      <c r="CP566" s="11"/>
      <c r="CQ566" s="11"/>
      <c r="CR566" s="11"/>
      <c r="CS566" s="11"/>
      <c r="CT566" s="11"/>
      <c r="CU566" s="11"/>
      <c r="CV566" s="11"/>
    </row>
    <row r="567" spans="2:100" x14ac:dyDescent="0.55000000000000004">
      <c r="B567" s="13" t="s">
        <v>1479</v>
      </c>
      <c r="C567" s="7">
        <v>0</v>
      </c>
      <c r="D567" s="6"/>
      <c r="E567" s="6"/>
      <c r="F567" s="6"/>
      <c r="G567" s="6"/>
      <c r="H567" s="6"/>
      <c r="I567" s="6"/>
      <c r="J567" s="6"/>
      <c r="K567" s="6"/>
      <c r="L567" s="6"/>
      <c r="M567" s="93"/>
      <c r="N567" s="11"/>
      <c r="O567" s="11"/>
      <c r="P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c r="BU567" s="11"/>
      <c r="BV567" s="11"/>
      <c r="BW567" s="11"/>
      <c r="BX567" s="11"/>
      <c r="BY567" s="11"/>
      <c r="BZ567" s="11"/>
      <c r="CA567" s="11"/>
      <c r="CB567" s="11"/>
      <c r="CC567" s="11"/>
      <c r="CD567" s="11"/>
      <c r="CE567" s="11"/>
      <c r="CF567" s="11"/>
      <c r="CG567" s="11"/>
      <c r="CH567" s="11"/>
      <c r="CI567" s="11"/>
      <c r="CJ567" s="11"/>
      <c r="CK567" s="11"/>
      <c r="CL567" s="11"/>
      <c r="CM567" s="11"/>
      <c r="CN567" s="11"/>
      <c r="CO567" s="11"/>
      <c r="CP567" s="11"/>
      <c r="CQ567" s="11"/>
      <c r="CR567" s="11"/>
      <c r="CS567" s="11"/>
      <c r="CT567" s="11"/>
      <c r="CU567" s="11"/>
      <c r="CV567" s="11"/>
    </row>
    <row r="568" spans="2:100" x14ac:dyDescent="0.55000000000000004">
      <c r="B568" s="21"/>
      <c r="C568" s="18" t="s">
        <v>394</v>
      </c>
      <c r="D568" s="6"/>
      <c r="E568" s="6"/>
      <c r="F568" s="6"/>
      <c r="G568" s="6"/>
      <c r="H568" s="6"/>
      <c r="I568" s="6"/>
      <c r="J568" s="6"/>
      <c r="K568" s="6"/>
      <c r="L568" s="6"/>
      <c r="M568" s="93"/>
      <c r="N568" s="11"/>
      <c r="O568" s="11"/>
      <c r="P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c r="BU568" s="11"/>
      <c r="BV568" s="11"/>
      <c r="BW568" s="11"/>
      <c r="BX568" s="11"/>
      <c r="BY568" s="11"/>
      <c r="BZ568" s="11"/>
      <c r="CA568" s="11"/>
      <c r="CB568" s="11"/>
      <c r="CC568" s="11"/>
      <c r="CD568" s="11"/>
      <c r="CE568" s="11"/>
      <c r="CF568" s="11"/>
      <c r="CG568" s="11"/>
      <c r="CH568" s="11"/>
      <c r="CI568" s="11"/>
      <c r="CJ568" s="11"/>
      <c r="CK568" s="11"/>
      <c r="CL568" s="11"/>
      <c r="CM568" s="11"/>
      <c r="CN568" s="11"/>
      <c r="CO568" s="11"/>
      <c r="CP568" s="11"/>
      <c r="CQ568" s="11"/>
      <c r="CR568" s="11"/>
      <c r="CS568" s="11"/>
      <c r="CT568" s="11"/>
      <c r="CU568" s="11"/>
      <c r="CV568" s="11"/>
    </row>
    <row r="569" spans="2:100" x14ac:dyDescent="0.55000000000000004">
      <c r="B569" s="74" t="s">
        <v>186</v>
      </c>
      <c r="C569" s="18" t="s">
        <v>118</v>
      </c>
      <c r="D569" s="6"/>
      <c r="E569" s="6"/>
      <c r="F569" s="6"/>
      <c r="G569" s="6"/>
      <c r="H569" s="6"/>
      <c r="I569" s="6"/>
      <c r="J569" s="6"/>
      <c r="K569" s="6"/>
      <c r="L569" s="6"/>
      <c r="M569" s="93"/>
      <c r="N569" s="11"/>
      <c r="O569" s="11"/>
      <c r="P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c r="BU569" s="11"/>
      <c r="BV569" s="11"/>
      <c r="BW569" s="11"/>
      <c r="BX569" s="11"/>
      <c r="BY569" s="11"/>
      <c r="BZ569" s="11"/>
      <c r="CA569" s="11"/>
      <c r="CB569" s="11"/>
      <c r="CC569" s="11"/>
      <c r="CD569" s="11"/>
      <c r="CE569" s="11"/>
      <c r="CF569" s="11"/>
      <c r="CG569" s="11"/>
      <c r="CH569" s="11"/>
      <c r="CI569" s="11"/>
      <c r="CJ569" s="11"/>
      <c r="CK569" s="11"/>
      <c r="CL569" s="11"/>
      <c r="CM569" s="11"/>
      <c r="CN569" s="11"/>
      <c r="CO569" s="11"/>
      <c r="CP569" s="11"/>
      <c r="CQ569" s="11"/>
      <c r="CR569" s="11"/>
      <c r="CS569" s="11"/>
      <c r="CT569" s="11"/>
      <c r="CU569" s="11"/>
      <c r="CV569" s="11"/>
    </row>
    <row r="570" spans="2:100" x14ac:dyDescent="0.55000000000000004">
      <c r="B570" s="13" t="s">
        <v>379</v>
      </c>
      <c r="C570" s="7">
        <v>1</v>
      </c>
      <c r="D570" s="6"/>
      <c r="E570" s="6"/>
      <c r="F570" s="6"/>
      <c r="G570" s="6"/>
      <c r="H570" s="6"/>
      <c r="I570" s="6"/>
      <c r="J570" s="6"/>
      <c r="K570" s="6"/>
      <c r="L570" s="6"/>
      <c r="M570" s="93"/>
      <c r="N570" s="11"/>
      <c r="O570" s="11"/>
      <c r="P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c r="BU570" s="11"/>
      <c r="BV570" s="11"/>
      <c r="BW570" s="11"/>
      <c r="BX570" s="11"/>
      <c r="BY570" s="11"/>
      <c r="BZ570" s="11"/>
      <c r="CA570" s="11"/>
      <c r="CB570" s="11"/>
      <c r="CC570" s="11"/>
      <c r="CD570" s="11"/>
      <c r="CE570" s="11"/>
      <c r="CF570" s="11"/>
      <c r="CG570" s="11"/>
      <c r="CH570" s="11"/>
      <c r="CI570" s="11"/>
      <c r="CJ570" s="11"/>
      <c r="CK570" s="11"/>
      <c r="CL570" s="11"/>
      <c r="CM570" s="11"/>
      <c r="CN570" s="11"/>
      <c r="CO570" s="11"/>
      <c r="CP570" s="11"/>
      <c r="CQ570" s="11"/>
      <c r="CR570" s="11"/>
      <c r="CS570" s="11"/>
      <c r="CT570" s="11"/>
      <c r="CU570" s="11"/>
      <c r="CV570" s="11"/>
    </row>
    <row r="571" spans="2:100" x14ac:dyDescent="0.55000000000000004">
      <c r="B571" s="13" t="s">
        <v>787</v>
      </c>
      <c r="C571" s="7" t="s">
        <v>924</v>
      </c>
      <c r="D571" s="6"/>
      <c r="E571" s="6"/>
      <c r="F571" s="6"/>
      <c r="G571" s="6"/>
      <c r="H571" s="6"/>
      <c r="I571" s="6"/>
      <c r="J571" s="6"/>
      <c r="K571" s="6"/>
      <c r="L571" s="6"/>
      <c r="M571" s="93"/>
      <c r="N571" s="11"/>
      <c r="O571" s="11"/>
      <c r="P571" s="11"/>
      <c r="Z571" s="11"/>
      <c r="AA571" s="11"/>
      <c r="AB571" s="11"/>
      <c r="AC571" s="11"/>
      <c r="AD571" s="11"/>
      <c r="AE571" s="11"/>
      <c r="AF571" s="11"/>
      <c r="AG571" s="11"/>
      <c r="AH571" s="11"/>
      <c r="AI571" s="11"/>
      <c r="AJ571" s="11"/>
      <c r="AK571" s="11"/>
      <c r="AL571" s="11"/>
      <c r="AM571" s="11"/>
      <c r="AN571" s="11"/>
      <c r="AO571" s="11"/>
      <c r="AP571" s="11"/>
    </row>
    <row r="572" spans="2:100" x14ac:dyDescent="0.55000000000000004">
      <c r="B572" s="13" t="s">
        <v>786</v>
      </c>
      <c r="C572" s="7">
        <v>0</v>
      </c>
      <c r="D572" s="6"/>
      <c r="E572" s="6"/>
      <c r="F572" s="6"/>
      <c r="G572" s="6"/>
      <c r="H572" s="6"/>
      <c r="I572" s="6"/>
      <c r="J572" s="6"/>
      <c r="K572" s="6"/>
      <c r="L572" s="6"/>
      <c r="M572" s="93"/>
      <c r="N572" s="11"/>
      <c r="O572" s="11"/>
      <c r="P572" s="11"/>
      <c r="Z572" s="11"/>
      <c r="AA572" s="11"/>
      <c r="AB572" s="11"/>
      <c r="AC572" s="11"/>
      <c r="AD572" s="11"/>
      <c r="AE572" s="11"/>
      <c r="AF572" s="11"/>
      <c r="AG572" s="11"/>
      <c r="AH572" s="11"/>
      <c r="AI572" s="11"/>
      <c r="AJ572" s="11"/>
      <c r="AK572" s="11"/>
      <c r="AL572" s="11"/>
      <c r="AM572" s="11"/>
      <c r="AN572" s="11"/>
      <c r="AO572" s="11"/>
      <c r="AP572" s="11"/>
    </row>
    <row r="573" spans="2:100" x14ac:dyDescent="0.55000000000000004">
      <c r="B573" s="13" t="s">
        <v>1625</v>
      </c>
      <c r="C573" s="7">
        <v>0</v>
      </c>
      <c r="D573" s="6"/>
      <c r="E573" s="6"/>
      <c r="F573" s="6"/>
      <c r="G573" s="6"/>
      <c r="H573" s="6"/>
      <c r="I573" s="6"/>
      <c r="J573" s="6"/>
      <c r="K573" s="6"/>
      <c r="L573" s="6"/>
      <c r="M573" s="93"/>
      <c r="N573" s="11"/>
      <c r="O573" s="11"/>
      <c r="P573" s="11"/>
      <c r="Z573" s="11"/>
      <c r="AA573" s="11"/>
      <c r="AB573" s="11"/>
      <c r="AC573" s="11"/>
      <c r="AD573" s="11"/>
      <c r="AE573" s="11"/>
      <c r="AF573" s="11"/>
      <c r="AG573" s="11"/>
      <c r="AH573" s="11"/>
      <c r="AI573" s="11"/>
      <c r="AJ573" s="11"/>
      <c r="AK573" s="11"/>
      <c r="AL573" s="11"/>
      <c r="AM573" s="11"/>
      <c r="AN573" s="11"/>
      <c r="AO573" s="11"/>
      <c r="AP573" s="11"/>
    </row>
    <row r="574" spans="2:100" x14ac:dyDescent="0.55000000000000004">
      <c r="B574" s="21"/>
      <c r="C574" s="18" t="s">
        <v>394</v>
      </c>
      <c r="D574" s="6"/>
      <c r="E574" s="6"/>
      <c r="F574" s="6"/>
      <c r="G574" s="6"/>
      <c r="H574" s="6"/>
      <c r="I574" s="6"/>
      <c r="J574" s="6"/>
      <c r="K574" s="6"/>
      <c r="L574" s="6"/>
      <c r="M574" s="93"/>
      <c r="N574" s="11"/>
      <c r="O574" s="11"/>
      <c r="P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c r="BU574" s="11"/>
      <c r="BV574" s="11"/>
      <c r="BW574" s="11"/>
      <c r="BX574" s="11"/>
      <c r="BY574" s="11"/>
      <c r="BZ574" s="11"/>
      <c r="CA574" s="11"/>
      <c r="CB574" s="11"/>
      <c r="CC574" s="11"/>
      <c r="CD574" s="11"/>
      <c r="CE574" s="11"/>
      <c r="CF574" s="11"/>
      <c r="CG574" s="11"/>
      <c r="CH574" s="11"/>
      <c r="CI574" s="11"/>
      <c r="CJ574" s="11"/>
      <c r="CK574" s="11"/>
      <c r="CL574" s="11"/>
      <c r="CM574" s="11"/>
      <c r="CN574" s="11"/>
      <c r="CO574" s="11"/>
      <c r="CP574" s="11"/>
      <c r="CQ574" s="11"/>
      <c r="CR574" s="11"/>
      <c r="CS574" s="11"/>
      <c r="CT574" s="11"/>
      <c r="CU574" s="11"/>
      <c r="CV574" s="11"/>
    </row>
    <row r="575" spans="2:100" x14ac:dyDescent="0.55000000000000004">
      <c r="B575" s="74" t="s">
        <v>1480</v>
      </c>
      <c r="C575" s="18" t="s">
        <v>96</v>
      </c>
      <c r="D575" s="6"/>
      <c r="E575" s="6"/>
      <c r="F575" s="6"/>
      <c r="G575" s="6"/>
      <c r="H575" s="6"/>
      <c r="I575" s="6"/>
      <c r="J575" s="6"/>
      <c r="K575" s="6"/>
      <c r="L575" s="6"/>
      <c r="M575" s="93"/>
      <c r="N575" s="11"/>
      <c r="O575" s="11"/>
      <c r="P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c r="BU575" s="11"/>
      <c r="BV575" s="11"/>
      <c r="BW575" s="11"/>
      <c r="BX575" s="11"/>
      <c r="BY575" s="11"/>
      <c r="BZ575" s="11"/>
      <c r="CA575" s="11"/>
      <c r="CB575" s="11"/>
      <c r="CC575" s="11"/>
      <c r="CD575" s="11"/>
      <c r="CE575" s="11"/>
      <c r="CF575" s="11"/>
      <c r="CG575" s="11"/>
      <c r="CH575" s="11"/>
      <c r="CI575" s="11"/>
      <c r="CJ575" s="11"/>
      <c r="CK575" s="11"/>
      <c r="CL575" s="11"/>
      <c r="CM575" s="11"/>
      <c r="CN575" s="11"/>
      <c r="CO575" s="11"/>
      <c r="CP575" s="11"/>
      <c r="CQ575" s="11"/>
      <c r="CR575" s="11"/>
      <c r="CS575" s="11"/>
      <c r="CT575" s="11"/>
      <c r="CU575" s="11"/>
      <c r="CV575" s="11"/>
    </row>
    <row r="576" spans="2:100" x14ac:dyDescent="0.55000000000000004">
      <c r="B576" s="13" t="s">
        <v>1481</v>
      </c>
      <c r="C576" s="7">
        <v>1.04</v>
      </c>
      <c r="D576" s="6"/>
      <c r="E576" s="6"/>
      <c r="F576" s="6"/>
      <c r="G576" s="6"/>
      <c r="H576" s="6"/>
      <c r="I576" s="6"/>
      <c r="J576" s="6"/>
      <c r="K576" s="6"/>
      <c r="L576" s="6"/>
      <c r="M576" s="93"/>
      <c r="N576" s="11"/>
      <c r="O576" s="11"/>
      <c r="P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c r="BU576" s="11"/>
      <c r="BV576" s="11"/>
      <c r="BW576" s="11"/>
      <c r="BX576" s="11"/>
      <c r="BY576" s="11"/>
      <c r="BZ576" s="11"/>
      <c r="CA576" s="11"/>
      <c r="CB576" s="11"/>
      <c r="CC576" s="11"/>
      <c r="CD576" s="11"/>
      <c r="CE576" s="11"/>
      <c r="CF576" s="11"/>
      <c r="CG576" s="11"/>
      <c r="CH576" s="11"/>
      <c r="CI576" s="11"/>
      <c r="CJ576" s="11"/>
      <c r="CK576" s="11"/>
      <c r="CL576" s="11"/>
      <c r="CM576" s="11"/>
      <c r="CN576" s="11"/>
      <c r="CO576" s="11"/>
      <c r="CP576" s="11"/>
      <c r="CQ576" s="11"/>
      <c r="CR576" s="11"/>
      <c r="CS576" s="11"/>
      <c r="CT576" s="11"/>
      <c r="CU576" s="11"/>
      <c r="CV576" s="11"/>
    </row>
    <row r="577" spans="2:100" x14ac:dyDescent="0.55000000000000004">
      <c r="B577" s="13" t="s">
        <v>1482</v>
      </c>
      <c r="C577" s="7">
        <v>1.4</v>
      </c>
      <c r="D577" s="6"/>
      <c r="E577" s="6"/>
      <c r="F577" s="6"/>
      <c r="G577" s="6"/>
      <c r="H577" s="6"/>
      <c r="I577" s="6"/>
      <c r="J577" s="6"/>
      <c r="K577" s="6"/>
      <c r="L577" s="6"/>
      <c r="M577" s="93"/>
      <c r="N577" s="11"/>
      <c r="O577" s="11"/>
      <c r="P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c r="BU577" s="11"/>
      <c r="BV577" s="11"/>
      <c r="BW577" s="11"/>
      <c r="BX577" s="11"/>
      <c r="BY577" s="11"/>
      <c r="BZ577" s="11"/>
      <c r="CA577" s="11"/>
      <c r="CB577" s="11"/>
      <c r="CC577" s="11"/>
      <c r="CD577" s="11"/>
      <c r="CE577" s="11"/>
      <c r="CF577" s="11"/>
      <c r="CG577" s="11"/>
      <c r="CH577" s="11"/>
      <c r="CI577" s="11"/>
      <c r="CJ577" s="11"/>
      <c r="CK577" s="11"/>
      <c r="CL577" s="11"/>
      <c r="CM577" s="11"/>
      <c r="CN577" s="11"/>
      <c r="CO577" s="11"/>
      <c r="CP577" s="11"/>
      <c r="CQ577" s="11"/>
      <c r="CR577" s="11"/>
      <c r="CS577" s="11"/>
      <c r="CT577" s="11"/>
      <c r="CU577" s="11"/>
      <c r="CV577" s="11"/>
    </row>
    <row r="578" spans="2:100" x14ac:dyDescent="0.55000000000000004">
      <c r="B578" s="13" t="s">
        <v>1483</v>
      </c>
      <c r="C578" s="7">
        <v>0</v>
      </c>
      <c r="D578" s="6"/>
      <c r="E578" s="6"/>
      <c r="F578" s="6"/>
      <c r="G578" s="6"/>
      <c r="H578" s="6"/>
      <c r="I578" s="6"/>
      <c r="J578" s="6"/>
      <c r="K578" s="6"/>
      <c r="L578" s="6"/>
      <c r="M578" s="93"/>
      <c r="N578" s="11"/>
      <c r="O578" s="11"/>
      <c r="P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c r="BU578" s="11"/>
      <c r="BV578" s="11"/>
      <c r="BW578" s="11"/>
      <c r="BX578" s="11"/>
      <c r="BY578" s="11"/>
      <c r="BZ578" s="11"/>
      <c r="CA578" s="11"/>
      <c r="CB578" s="11"/>
      <c r="CC578" s="11"/>
      <c r="CD578" s="11"/>
      <c r="CE578" s="11"/>
      <c r="CF578" s="11"/>
      <c r="CG578" s="11"/>
      <c r="CH578" s="11"/>
      <c r="CI578" s="11"/>
      <c r="CJ578" s="11"/>
      <c r="CK578" s="11"/>
      <c r="CL578" s="11"/>
      <c r="CM578" s="11"/>
      <c r="CN578" s="11"/>
      <c r="CO578" s="11"/>
      <c r="CP578" s="11"/>
      <c r="CQ578" s="11"/>
      <c r="CR578" s="11"/>
      <c r="CS578" s="11"/>
      <c r="CT578" s="11"/>
      <c r="CU578" s="11"/>
      <c r="CV578" s="11"/>
    </row>
    <row r="579" spans="2:100" x14ac:dyDescent="0.55000000000000004">
      <c r="B579" s="13" t="s">
        <v>1484</v>
      </c>
      <c r="C579" s="7">
        <v>0</v>
      </c>
      <c r="D579" s="6"/>
      <c r="E579" s="6"/>
      <c r="F579" s="6"/>
      <c r="G579" s="6"/>
      <c r="H579" s="6"/>
      <c r="I579" s="6"/>
      <c r="J579" s="6"/>
      <c r="K579" s="6"/>
      <c r="L579" s="6"/>
      <c r="M579" s="93"/>
      <c r="N579" s="11"/>
      <c r="O579" s="11"/>
      <c r="P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c r="BU579" s="11"/>
      <c r="BV579" s="11"/>
      <c r="BW579" s="11"/>
      <c r="BX579" s="11"/>
      <c r="BY579" s="11"/>
      <c r="BZ579" s="11"/>
      <c r="CA579" s="11"/>
      <c r="CB579" s="11"/>
      <c r="CC579" s="11"/>
      <c r="CD579" s="11"/>
      <c r="CE579" s="11"/>
      <c r="CF579" s="11"/>
      <c r="CG579" s="11"/>
      <c r="CH579" s="11"/>
      <c r="CI579" s="11"/>
      <c r="CJ579" s="11"/>
      <c r="CK579" s="11"/>
      <c r="CL579" s="11"/>
      <c r="CM579" s="11"/>
      <c r="CN579" s="11"/>
      <c r="CO579" s="11"/>
      <c r="CP579" s="11"/>
      <c r="CQ579" s="11"/>
      <c r="CR579" s="11"/>
      <c r="CS579" s="11"/>
      <c r="CT579" s="11"/>
      <c r="CU579" s="11"/>
      <c r="CV579" s="11"/>
    </row>
    <row r="580" spans="2:100" x14ac:dyDescent="0.55000000000000004">
      <c r="B580" s="21"/>
      <c r="C580" s="18" t="s">
        <v>394</v>
      </c>
      <c r="D580" s="6"/>
      <c r="E580" s="6"/>
      <c r="F580" s="6"/>
      <c r="G580" s="6"/>
      <c r="H580" s="6"/>
      <c r="I580" s="6"/>
      <c r="J580" s="6"/>
      <c r="K580" s="6"/>
      <c r="L580" s="6"/>
      <c r="M580" s="93"/>
      <c r="N580" s="11"/>
      <c r="O580" s="11"/>
      <c r="P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c r="BU580" s="11"/>
      <c r="BV580" s="11"/>
      <c r="BW580" s="11"/>
      <c r="BX580" s="11"/>
      <c r="BY580" s="11"/>
      <c r="BZ580" s="11"/>
      <c r="CA580" s="11"/>
      <c r="CB580" s="11"/>
      <c r="CC580" s="11"/>
      <c r="CD580" s="11"/>
      <c r="CE580" s="11"/>
      <c r="CF580" s="11"/>
      <c r="CG580" s="11"/>
      <c r="CH580" s="11"/>
      <c r="CI580" s="11"/>
      <c r="CJ580" s="11"/>
      <c r="CK580" s="11"/>
      <c r="CL580" s="11"/>
      <c r="CM580" s="11"/>
      <c r="CN580" s="11"/>
      <c r="CO580" s="11"/>
      <c r="CP580" s="11"/>
      <c r="CQ580" s="11"/>
      <c r="CR580" s="11"/>
      <c r="CS580" s="11"/>
      <c r="CT580" s="11"/>
      <c r="CU580" s="11"/>
      <c r="CV580" s="11"/>
    </row>
    <row r="581" spans="2:100" x14ac:dyDescent="0.55000000000000004">
      <c r="B581" s="74" t="s">
        <v>1485</v>
      </c>
      <c r="C581" s="18" t="s">
        <v>96</v>
      </c>
      <c r="D581" s="6"/>
      <c r="E581" s="6"/>
      <c r="F581" s="6"/>
      <c r="G581" s="6"/>
      <c r="H581" s="6"/>
      <c r="I581" s="6"/>
      <c r="J581" s="6"/>
      <c r="K581" s="6"/>
      <c r="L581" s="6"/>
      <c r="M581" s="93"/>
      <c r="N581" s="11"/>
      <c r="O581" s="11"/>
      <c r="P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c r="BU581" s="11"/>
      <c r="BV581" s="11"/>
      <c r="BW581" s="11"/>
      <c r="BX581" s="11"/>
      <c r="BY581" s="11"/>
      <c r="BZ581" s="11"/>
      <c r="CA581" s="11"/>
      <c r="CB581" s="11"/>
      <c r="CC581" s="11"/>
      <c r="CD581" s="11"/>
      <c r="CE581" s="11"/>
      <c r="CF581" s="11"/>
      <c r="CG581" s="11"/>
      <c r="CH581" s="11"/>
      <c r="CI581" s="11"/>
      <c r="CJ581" s="11"/>
      <c r="CK581" s="11"/>
      <c r="CL581" s="11"/>
      <c r="CM581" s="11"/>
      <c r="CN581" s="11"/>
      <c r="CO581" s="11"/>
      <c r="CP581" s="11"/>
      <c r="CQ581" s="11"/>
      <c r="CR581" s="11"/>
      <c r="CS581" s="11"/>
      <c r="CT581" s="11"/>
      <c r="CU581" s="11"/>
      <c r="CV581" s="11"/>
    </row>
    <row r="582" spans="2:100" x14ac:dyDescent="0.55000000000000004">
      <c r="B582" s="13" t="s">
        <v>1487</v>
      </c>
      <c r="C582" s="7">
        <v>0.01</v>
      </c>
      <c r="D582" s="6"/>
      <c r="E582" s="6"/>
      <c r="F582" s="6"/>
      <c r="G582" s="6"/>
      <c r="H582" s="6"/>
      <c r="I582" s="6"/>
      <c r="J582" s="6"/>
      <c r="K582" s="6"/>
      <c r="L582" s="6"/>
      <c r="M582" s="93"/>
      <c r="N582" s="11"/>
      <c r="O582" s="11"/>
      <c r="P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c r="BU582" s="11"/>
      <c r="BV582" s="11"/>
      <c r="BW582" s="11"/>
      <c r="BX582" s="11"/>
      <c r="BY582" s="11"/>
      <c r="BZ582" s="11"/>
      <c r="CA582" s="11"/>
      <c r="CB582" s="11"/>
      <c r="CC582" s="11"/>
      <c r="CD582" s="11"/>
      <c r="CE582" s="11"/>
      <c r="CF582" s="11"/>
      <c r="CG582" s="11"/>
      <c r="CH582" s="11"/>
      <c r="CI582" s="11"/>
      <c r="CJ582" s="11"/>
      <c r="CK582" s="11"/>
      <c r="CL582" s="11"/>
      <c r="CM582" s="11"/>
      <c r="CN582" s="11"/>
      <c r="CO582" s="11"/>
      <c r="CP582" s="11"/>
      <c r="CQ582" s="11"/>
      <c r="CR582" s="11"/>
      <c r="CS582" s="11"/>
      <c r="CT582" s="11"/>
      <c r="CU582" s="11"/>
      <c r="CV582" s="11"/>
    </row>
    <row r="583" spans="2:100" x14ac:dyDescent="0.55000000000000004">
      <c r="B583" s="13" t="s">
        <v>1488</v>
      </c>
      <c r="C583" s="7">
        <v>1.04</v>
      </c>
      <c r="D583" s="6"/>
      <c r="E583" s="6"/>
      <c r="F583" s="6"/>
      <c r="G583" s="6"/>
      <c r="H583" s="6"/>
      <c r="I583" s="6"/>
      <c r="J583" s="6"/>
      <c r="K583" s="6"/>
      <c r="L583" s="6"/>
      <c r="M583" s="93"/>
      <c r="N583" s="11"/>
      <c r="O583" s="11"/>
      <c r="P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c r="BU583" s="11"/>
      <c r="BV583" s="11"/>
      <c r="BW583" s="11"/>
      <c r="BX583" s="11"/>
      <c r="BY583" s="11"/>
      <c r="BZ583" s="11"/>
      <c r="CA583" s="11"/>
      <c r="CB583" s="11"/>
      <c r="CC583" s="11"/>
      <c r="CD583" s="11"/>
      <c r="CE583" s="11"/>
      <c r="CF583" s="11"/>
      <c r="CG583" s="11"/>
      <c r="CH583" s="11"/>
      <c r="CI583" s="11"/>
      <c r="CJ583" s="11"/>
      <c r="CK583" s="11"/>
      <c r="CL583" s="11"/>
      <c r="CM583" s="11"/>
      <c r="CN583" s="11"/>
      <c r="CO583" s="11"/>
      <c r="CP583" s="11"/>
      <c r="CQ583" s="11"/>
      <c r="CR583" s="11"/>
      <c r="CS583" s="11"/>
      <c r="CT583" s="11"/>
      <c r="CU583" s="11"/>
      <c r="CV583" s="11"/>
    </row>
    <row r="584" spans="2:100" x14ac:dyDescent="0.55000000000000004">
      <c r="B584" s="13" t="s">
        <v>1491</v>
      </c>
      <c r="C584" s="7">
        <v>1E-3</v>
      </c>
      <c r="D584" s="6"/>
      <c r="E584" s="6"/>
      <c r="F584" s="6"/>
      <c r="G584" s="6"/>
      <c r="H584" s="6"/>
      <c r="I584" s="6"/>
      <c r="J584" s="6"/>
      <c r="K584" s="6"/>
      <c r="L584" s="6"/>
      <c r="M584" s="93"/>
      <c r="N584" s="11"/>
      <c r="O584" s="11"/>
      <c r="P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c r="BU584" s="11"/>
      <c r="BV584" s="11"/>
      <c r="BW584" s="11"/>
      <c r="BX584" s="11"/>
      <c r="BY584" s="11"/>
      <c r="BZ584" s="11"/>
      <c r="CA584" s="11"/>
      <c r="CB584" s="11"/>
      <c r="CC584" s="11"/>
      <c r="CD584" s="11"/>
      <c r="CE584" s="11"/>
      <c r="CF584" s="11"/>
      <c r="CG584" s="11"/>
      <c r="CH584" s="11"/>
      <c r="CI584" s="11"/>
      <c r="CJ584" s="11"/>
      <c r="CK584" s="11"/>
      <c r="CL584" s="11"/>
      <c r="CM584" s="11"/>
      <c r="CN584" s="11"/>
      <c r="CO584" s="11"/>
      <c r="CP584" s="11"/>
      <c r="CQ584" s="11"/>
      <c r="CR584" s="11"/>
      <c r="CS584" s="11"/>
      <c r="CT584" s="11"/>
      <c r="CU584" s="11"/>
      <c r="CV584" s="11"/>
    </row>
    <row r="585" spans="2:100" x14ac:dyDescent="0.55000000000000004">
      <c r="B585" s="13" t="s">
        <v>1493</v>
      </c>
      <c r="C585" s="7">
        <v>1E-3</v>
      </c>
      <c r="D585" s="6"/>
      <c r="E585" s="6"/>
      <c r="F585" s="6"/>
      <c r="G585" s="6"/>
      <c r="H585" s="6"/>
      <c r="I585" s="6"/>
      <c r="J585" s="6"/>
      <c r="K585" s="6"/>
      <c r="L585" s="6"/>
      <c r="M585" s="93"/>
      <c r="N585" s="11"/>
      <c r="O585" s="11"/>
      <c r="P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c r="BU585" s="11"/>
      <c r="BV585" s="11"/>
      <c r="BW585" s="11"/>
      <c r="BX585" s="11"/>
      <c r="BY585" s="11"/>
      <c r="BZ585" s="11"/>
      <c r="CA585" s="11"/>
      <c r="CB585" s="11"/>
      <c r="CC585" s="11"/>
      <c r="CD585" s="11"/>
      <c r="CE585" s="11"/>
      <c r="CF585" s="11"/>
      <c r="CG585" s="11"/>
      <c r="CH585" s="11"/>
      <c r="CI585" s="11"/>
      <c r="CJ585" s="11"/>
      <c r="CK585" s="11"/>
      <c r="CL585" s="11"/>
      <c r="CM585" s="11"/>
      <c r="CN585" s="11"/>
      <c r="CO585" s="11"/>
      <c r="CP585" s="11"/>
      <c r="CQ585" s="11"/>
      <c r="CR585" s="11"/>
      <c r="CS585" s="11"/>
      <c r="CT585" s="11"/>
      <c r="CU585" s="11"/>
      <c r="CV585" s="11"/>
    </row>
    <row r="586" spans="2:100" x14ac:dyDescent="0.55000000000000004">
      <c r="B586" s="21"/>
      <c r="C586" s="18" t="s">
        <v>394</v>
      </c>
      <c r="D586" s="6"/>
      <c r="E586" s="6"/>
      <c r="F586" s="6"/>
      <c r="G586" s="6"/>
      <c r="H586" s="6"/>
      <c r="I586" s="6"/>
      <c r="J586" s="6"/>
      <c r="K586" s="6"/>
      <c r="L586" s="6"/>
      <c r="M586" s="93"/>
      <c r="N586" s="11"/>
      <c r="O586" s="11"/>
      <c r="P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c r="BU586" s="11"/>
      <c r="BV586" s="11"/>
      <c r="BW586" s="11"/>
      <c r="BX586" s="11"/>
      <c r="BY586" s="11"/>
      <c r="BZ586" s="11"/>
      <c r="CA586" s="11"/>
      <c r="CB586" s="11"/>
      <c r="CC586" s="11"/>
      <c r="CD586" s="11"/>
      <c r="CE586" s="11"/>
      <c r="CF586" s="11"/>
      <c r="CG586" s="11"/>
      <c r="CH586" s="11"/>
      <c r="CI586" s="11"/>
      <c r="CJ586" s="11"/>
      <c r="CK586" s="11"/>
      <c r="CL586" s="11"/>
      <c r="CM586" s="11"/>
      <c r="CN586" s="11"/>
      <c r="CO586" s="11"/>
      <c r="CP586" s="11"/>
      <c r="CQ586" s="11"/>
      <c r="CR586" s="11"/>
      <c r="CS586" s="11"/>
      <c r="CT586" s="11"/>
      <c r="CU586" s="11"/>
      <c r="CV586" s="11"/>
    </row>
    <row r="587" spans="2:100" x14ac:dyDescent="0.55000000000000004">
      <c r="B587" s="74" t="s">
        <v>1486</v>
      </c>
      <c r="C587" s="18" t="s">
        <v>96</v>
      </c>
      <c r="D587" s="6"/>
      <c r="E587" s="6"/>
      <c r="F587" s="6"/>
      <c r="G587" s="6"/>
      <c r="H587" s="6"/>
      <c r="I587" s="6"/>
      <c r="J587" s="6"/>
      <c r="K587" s="6"/>
      <c r="L587" s="6"/>
      <c r="M587" s="93"/>
      <c r="N587" s="11"/>
      <c r="O587" s="11"/>
      <c r="P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c r="BU587" s="11"/>
      <c r="BV587" s="11"/>
      <c r="BW587" s="11"/>
      <c r="BX587" s="11"/>
      <c r="BY587" s="11"/>
      <c r="BZ587" s="11"/>
      <c r="CA587" s="11"/>
      <c r="CB587" s="11"/>
      <c r="CC587" s="11"/>
      <c r="CD587" s="11"/>
      <c r="CE587" s="11"/>
      <c r="CF587" s="11"/>
      <c r="CG587" s="11"/>
      <c r="CH587" s="11"/>
      <c r="CI587" s="11"/>
      <c r="CJ587" s="11"/>
      <c r="CK587" s="11"/>
      <c r="CL587" s="11"/>
      <c r="CM587" s="11"/>
      <c r="CN587" s="11"/>
      <c r="CO587" s="11"/>
      <c r="CP587" s="11"/>
      <c r="CQ587" s="11"/>
      <c r="CR587" s="11"/>
      <c r="CS587" s="11"/>
      <c r="CT587" s="11"/>
      <c r="CU587" s="11"/>
      <c r="CV587" s="11"/>
    </row>
    <row r="588" spans="2:100" x14ac:dyDescent="0.55000000000000004">
      <c r="B588" s="13" t="s">
        <v>1490</v>
      </c>
      <c r="C588" s="7">
        <v>0.01</v>
      </c>
      <c r="D588" s="6"/>
      <c r="E588" s="6"/>
      <c r="F588" s="6"/>
      <c r="G588" s="6"/>
      <c r="H588" s="6"/>
      <c r="I588" s="6"/>
      <c r="J588" s="6"/>
      <c r="K588" s="6"/>
      <c r="L588" s="6"/>
      <c r="M588" s="93"/>
      <c r="N588" s="11"/>
      <c r="O588" s="11"/>
      <c r="P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c r="BU588" s="11"/>
      <c r="BV588" s="11"/>
      <c r="BW588" s="11"/>
      <c r="BX588" s="11"/>
      <c r="BY588" s="11"/>
      <c r="BZ588" s="11"/>
      <c r="CA588" s="11"/>
      <c r="CB588" s="11"/>
      <c r="CC588" s="11"/>
      <c r="CD588" s="11"/>
      <c r="CE588" s="11"/>
      <c r="CF588" s="11"/>
      <c r="CG588" s="11"/>
      <c r="CH588" s="11"/>
      <c r="CI588" s="11"/>
      <c r="CJ588" s="11"/>
      <c r="CK588" s="11"/>
      <c r="CL588" s="11"/>
      <c r="CM588" s="11"/>
      <c r="CN588" s="11"/>
      <c r="CO588" s="11"/>
      <c r="CP588" s="11"/>
      <c r="CQ588" s="11"/>
      <c r="CR588" s="11"/>
      <c r="CS588" s="11"/>
      <c r="CT588" s="11"/>
      <c r="CU588" s="11"/>
      <c r="CV588" s="11"/>
    </row>
    <row r="589" spans="2:100" x14ac:dyDescent="0.55000000000000004">
      <c r="B589" s="13" t="s">
        <v>1489</v>
      </c>
      <c r="C589" s="7">
        <v>1.04</v>
      </c>
      <c r="D589" s="6"/>
      <c r="E589" s="6"/>
      <c r="F589" s="6"/>
      <c r="G589" s="6"/>
      <c r="H589" s="6"/>
      <c r="I589" s="6"/>
      <c r="J589" s="6"/>
      <c r="K589" s="6"/>
      <c r="L589" s="6"/>
      <c r="M589" s="93"/>
      <c r="N589" s="11"/>
      <c r="O589" s="11"/>
      <c r="P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c r="BU589" s="11"/>
      <c r="BV589" s="11"/>
      <c r="BW589" s="11"/>
      <c r="BX589" s="11"/>
      <c r="BY589" s="11"/>
      <c r="BZ589" s="11"/>
      <c r="CA589" s="11"/>
      <c r="CB589" s="11"/>
      <c r="CC589" s="11"/>
      <c r="CD589" s="11"/>
      <c r="CE589" s="11"/>
      <c r="CF589" s="11"/>
      <c r="CG589" s="11"/>
      <c r="CH589" s="11"/>
      <c r="CI589" s="11"/>
      <c r="CJ589" s="11"/>
      <c r="CK589" s="11"/>
      <c r="CL589" s="11"/>
      <c r="CM589" s="11"/>
      <c r="CN589" s="11"/>
      <c r="CO589" s="11"/>
      <c r="CP589" s="11"/>
      <c r="CQ589" s="11"/>
      <c r="CR589" s="11"/>
      <c r="CS589" s="11"/>
      <c r="CT589" s="11"/>
      <c r="CU589" s="11"/>
      <c r="CV589" s="11"/>
    </row>
    <row r="590" spans="2:100" x14ac:dyDescent="0.55000000000000004">
      <c r="B590" s="13" t="s">
        <v>1492</v>
      </c>
      <c r="C590" s="7">
        <v>0.1</v>
      </c>
      <c r="D590" s="6"/>
      <c r="E590" s="6"/>
      <c r="F590" s="6"/>
      <c r="G590" s="6"/>
      <c r="H590" s="6"/>
      <c r="I590" s="6"/>
      <c r="J590" s="6"/>
      <c r="K590" s="6"/>
      <c r="L590" s="6"/>
      <c r="M590" s="93"/>
      <c r="N590" s="11"/>
      <c r="O590" s="11"/>
      <c r="P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c r="BU590" s="11"/>
      <c r="BV590" s="11"/>
      <c r="BW590" s="11"/>
      <c r="BX590" s="11"/>
      <c r="BY590" s="11"/>
      <c r="BZ590" s="11"/>
      <c r="CA590" s="11"/>
      <c r="CB590" s="11"/>
      <c r="CC590" s="11"/>
      <c r="CD590" s="11"/>
      <c r="CE590" s="11"/>
      <c r="CF590" s="11"/>
      <c r="CG590" s="11"/>
      <c r="CH590" s="11"/>
      <c r="CI590" s="11"/>
      <c r="CJ590" s="11"/>
      <c r="CK590" s="11"/>
      <c r="CL590" s="11"/>
      <c r="CM590" s="11"/>
      <c r="CN590" s="11"/>
      <c r="CO590" s="11"/>
      <c r="CP590" s="11"/>
      <c r="CQ590" s="11"/>
      <c r="CR590" s="11"/>
      <c r="CS590" s="11"/>
      <c r="CT590" s="11"/>
      <c r="CU590" s="11"/>
      <c r="CV590" s="11"/>
    </row>
    <row r="591" spans="2:100" x14ac:dyDescent="0.55000000000000004">
      <c r="B591" s="21"/>
      <c r="C591" s="18" t="s">
        <v>394</v>
      </c>
      <c r="D591" s="6"/>
      <c r="E591" s="6"/>
      <c r="F591" s="6"/>
      <c r="G591" s="6"/>
      <c r="H591" s="6"/>
      <c r="I591" s="6"/>
      <c r="J591" s="6"/>
      <c r="K591" s="6"/>
      <c r="L591" s="6"/>
      <c r="M591" s="93"/>
      <c r="N591" s="11"/>
      <c r="O591" s="11"/>
      <c r="P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c r="BU591" s="11"/>
      <c r="BV591" s="11"/>
      <c r="BW591" s="11"/>
      <c r="BX591" s="11"/>
      <c r="BY591" s="11"/>
      <c r="BZ591" s="11"/>
      <c r="CA591" s="11"/>
      <c r="CB591" s="11"/>
      <c r="CC591" s="11"/>
      <c r="CD591" s="11"/>
      <c r="CE591" s="11"/>
      <c r="CF591" s="11"/>
      <c r="CG591" s="11"/>
      <c r="CH591" s="11"/>
      <c r="CI591" s="11"/>
      <c r="CJ591" s="11"/>
      <c r="CK591" s="11"/>
      <c r="CL591" s="11"/>
      <c r="CM591" s="11"/>
      <c r="CN591" s="11"/>
      <c r="CO591" s="11"/>
      <c r="CP591" s="11"/>
      <c r="CQ591" s="11"/>
      <c r="CR591" s="11"/>
      <c r="CS591" s="11"/>
      <c r="CT591" s="11"/>
      <c r="CU591" s="11"/>
      <c r="CV591" s="11"/>
    </row>
    <row r="592" spans="2:100" x14ac:dyDescent="0.55000000000000004">
      <c r="B592" s="74" t="s">
        <v>1500</v>
      </c>
      <c r="C592" s="18" t="s">
        <v>96</v>
      </c>
      <c r="D592" s="6"/>
      <c r="E592" s="6"/>
      <c r="F592" s="6"/>
      <c r="G592" s="6"/>
      <c r="H592" s="6"/>
      <c r="I592" s="6"/>
      <c r="J592" s="6"/>
      <c r="K592" s="6"/>
      <c r="L592" s="6"/>
      <c r="M592" s="93"/>
      <c r="N592" s="11"/>
      <c r="O592" s="11"/>
      <c r="P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c r="BU592" s="11"/>
      <c r="BV592" s="11"/>
      <c r="BW592" s="11"/>
      <c r="BX592" s="11"/>
      <c r="BY592" s="11"/>
      <c r="BZ592" s="11"/>
      <c r="CA592" s="11"/>
      <c r="CB592" s="11"/>
      <c r="CC592" s="11"/>
      <c r="CD592" s="11"/>
      <c r="CE592" s="11"/>
      <c r="CF592" s="11"/>
      <c r="CG592" s="11"/>
      <c r="CH592" s="11"/>
      <c r="CI592" s="11"/>
      <c r="CJ592" s="11"/>
      <c r="CK592" s="11"/>
      <c r="CL592" s="11"/>
      <c r="CM592" s="11"/>
      <c r="CN592" s="11"/>
      <c r="CO592" s="11"/>
      <c r="CP592" s="11"/>
      <c r="CQ592" s="11"/>
      <c r="CR592" s="11"/>
      <c r="CS592" s="11"/>
      <c r="CT592" s="11"/>
      <c r="CU592" s="11"/>
      <c r="CV592" s="11"/>
    </row>
    <row r="593" spans="2:100" x14ac:dyDescent="0.55000000000000004">
      <c r="B593" s="13" t="s">
        <v>1494</v>
      </c>
      <c r="C593" s="7">
        <v>0.01</v>
      </c>
      <c r="D593" s="6"/>
      <c r="E593" s="6"/>
      <c r="F593" s="6"/>
      <c r="G593" s="6"/>
      <c r="H593" s="6"/>
      <c r="I593" s="6"/>
      <c r="J593" s="6"/>
      <c r="K593" s="6"/>
      <c r="L593" s="6"/>
      <c r="M593" s="93"/>
      <c r="N593" s="11"/>
      <c r="O593" s="11"/>
      <c r="P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c r="BU593" s="11"/>
      <c r="BV593" s="11"/>
      <c r="BW593" s="11"/>
      <c r="BX593" s="11"/>
      <c r="BY593" s="11"/>
      <c r="BZ593" s="11"/>
      <c r="CA593" s="11"/>
      <c r="CB593" s="11"/>
      <c r="CC593" s="11"/>
      <c r="CD593" s="11"/>
      <c r="CE593" s="11"/>
      <c r="CF593" s="11"/>
      <c r="CG593" s="11"/>
      <c r="CH593" s="11"/>
      <c r="CI593" s="11"/>
      <c r="CJ593" s="11"/>
      <c r="CK593" s="11"/>
      <c r="CL593" s="11"/>
      <c r="CM593" s="11"/>
      <c r="CN593" s="11"/>
      <c r="CO593" s="11"/>
      <c r="CP593" s="11"/>
      <c r="CQ593" s="11"/>
      <c r="CR593" s="11"/>
      <c r="CS593" s="11"/>
      <c r="CT593" s="11"/>
      <c r="CU593" s="11"/>
      <c r="CV593" s="11"/>
    </row>
    <row r="594" spans="2:100" x14ac:dyDescent="0.55000000000000004">
      <c r="B594" s="13" t="s">
        <v>1495</v>
      </c>
      <c r="C594" s="7">
        <v>1.04</v>
      </c>
      <c r="D594" s="6"/>
      <c r="E594" s="6"/>
      <c r="F594" s="6"/>
      <c r="G594" s="6"/>
      <c r="H594" s="6"/>
      <c r="I594" s="6"/>
      <c r="J594" s="6"/>
      <c r="K594" s="6"/>
      <c r="L594" s="6"/>
      <c r="M594" s="93"/>
      <c r="N594" s="11"/>
      <c r="O594" s="11"/>
      <c r="P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c r="BU594" s="11"/>
      <c r="BV594" s="11"/>
      <c r="BW594" s="11"/>
      <c r="BX594" s="11"/>
      <c r="BY594" s="11"/>
      <c r="BZ594" s="11"/>
      <c r="CA594" s="11"/>
      <c r="CB594" s="11"/>
      <c r="CC594" s="11"/>
      <c r="CD594" s="11"/>
      <c r="CE594" s="11"/>
      <c r="CF594" s="11"/>
      <c r="CG594" s="11"/>
      <c r="CH594" s="11"/>
      <c r="CI594" s="11"/>
      <c r="CJ594" s="11"/>
      <c r="CK594" s="11"/>
      <c r="CL594" s="11"/>
      <c r="CM594" s="11"/>
      <c r="CN594" s="11"/>
      <c r="CO594" s="11"/>
      <c r="CP594" s="11"/>
      <c r="CQ594" s="11"/>
      <c r="CR594" s="11"/>
      <c r="CS594" s="11"/>
      <c r="CT594" s="11"/>
      <c r="CU594" s="11"/>
      <c r="CV594" s="11"/>
    </row>
    <row r="595" spans="2:100" x14ac:dyDescent="0.55000000000000004">
      <c r="B595" s="13" t="s">
        <v>1496</v>
      </c>
      <c r="C595" s="7">
        <v>1E-3</v>
      </c>
      <c r="D595" s="6"/>
      <c r="E595" s="6"/>
      <c r="F595" s="6"/>
      <c r="G595" s="6"/>
      <c r="H595" s="6"/>
      <c r="I595" s="6"/>
      <c r="J595" s="6"/>
      <c r="K595" s="6"/>
      <c r="L595" s="6"/>
      <c r="M595" s="93"/>
      <c r="N595" s="11"/>
      <c r="O595" s="11"/>
      <c r="P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c r="BU595" s="11"/>
      <c r="BV595" s="11"/>
      <c r="BW595" s="11"/>
      <c r="BX595" s="11"/>
      <c r="BY595" s="11"/>
      <c r="BZ595" s="11"/>
      <c r="CA595" s="11"/>
      <c r="CB595" s="11"/>
      <c r="CC595" s="11"/>
      <c r="CD595" s="11"/>
      <c r="CE595" s="11"/>
      <c r="CF595" s="11"/>
      <c r="CG595" s="11"/>
      <c r="CH595" s="11"/>
      <c r="CI595" s="11"/>
      <c r="CJ595" s="11"/>
      <c r="CK595" s="11"/>
      <c r="CL595" s="11"/>
      <c r="CM595" s="11"/>
      <c r="CN595" s="11"/>
      <c r="CO595" s="11"/>
      <c r="CP595" s="11"/>
      <c r="CQ595" s="11"/>
      <c r="CR595" s="11"/>
      <c r="CS595" s="11"/>
      <c r="CT595" s="11"/>
      <c r="CU595" s="11"/>
      <c r="CV595" s="11"/>
    </row>
    <row r="596" spans="2:100" x14ac:dyDescent="0.55000000000000004">
      <c r="B596" s="13" t="s">
        <v>1497</v>
      </c>
      <c r="C596" s="7">
        <v>1E-3</v>
      </c>
      <c r="D596" s="6"/>
      <c r="E596" s="6"/>
      <c r="F596" s="6"/>
      <c r="G596" s="6"/>
      <c r="H596" s="6"/>
      <c r="I596" s="6"/>
      <c r="J596" s="6"/>
      <c r="K596" s="6"/>
      <c r="L596" s="6"/>
      <c r="M596" s="93"/>
      <c r="N596" s="11"/>
      <c r="O596" s="11"/>
      <c r="P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c r="BU596" s="11"/>
      <c r="BV596" s="11"/>
      <c r="BW596" s="11"/>
      <c r="BX596" s="11"/>
      <c r="BY596" s="11"/>
      <c r="BZ596" s="11"/>
      <c r="CA596" s="11"/>
      <c r="CB596" s="11"/>
      <c r="CC596" s="11"/>
      <c r="CD596" s="11"/>
      <c r="CE596" s="11"/>
      <c r="CF596" s="11"/>
      <c r="CG596" s="11"/>
      <c r="CH596" s="11"/>
      <c r="CI596" s="11"/>
      <c r="CJ596" s="11"/>
      <c r="CK596" s="11"/>
      <c r="CL596" s="11"/>
      <c r="CM596" s="11"/>
      <c r="CN596" s="11"/>
      <c r="CO596" s="11"/>
      <c r="CP596" s="11"/>
      <c r="CQ596" s="11"/>
      <c r="CR596" s="11"/>
      <c r="CS596" s="11"/>
      <c r="CT596" s="11"/>
      <c r="CU596" s="11"/>
      <c r="CV596" s="11"/>
    </row>
    <row r="597" spans="2:100" x14ac:dyDescent="0.55000000000000004">
      <c r="B597" s="13" t="s">
        <v>1498</v>
      </c>
      <c r="C597" s="7">
        <v>1E-3</v>
      </c>
      <c r="D597" s="6"/>
      <c r="E597" s="6"/>
      <c r="F597" s="6"/>
      <c r="G597" s="6"/>
      <c r="H597" s="6"/>
      <c r="I597" s="6"/>
      <c r="J597" s="6"/>
      <c r="K597" s="6"/>
      <c r="L597" s="6"/>
      <c r="M597" s="93"/>
      <c r="N597" s="11"/>
      <c r="O597" s="11"/>
      <c r="P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c r="BU597" s="11"/>
      <c r="BV597" s="11"/>
      <c r="BW597" s="11"/>
      <c r="BX597" s="11"/>
      <c r="BY597" s="11"/>
      <c r="BZ597" s="11"/>
      <c r="CA597" s="11"/>
      <c r="CB597" s="11"/>
      <c r="CC597" s="11"/>
      <c r="CD597" s="11"/>
      <c r="CE597" s="11"/>
      <c r="CF597" s="11"/>
      <c r="CG597" s="11"/>
      <c r="CH597" s="11"/>
      <c r="CI597" s="11"/>
      <c r="CJ597" s="11"/>
      <c r="CK597" s="11"/>
      <c r="CL597" s="11"/>
      <c r="CM597" s="11"/>
      <c r="CN597" s="11"/>
      <c r="CO597" s="11"/>
      <c r="CP597" s="11"/>
      <c r="CQ597" s="11"/>
      <c r="CR597" s="11"/>
      <c r="CS597" s="11"/>
      <c r="CT597" s="11"/>
      <c r="CU597" s="11"/>
      <c r="CV597" s="11"/>
    </row>
    <row r="598" spans="2:100" x14ac:dyDescent="0.55000000000000004">
      <c r="B598" s="21"/>
      <c r="C598" s="18" t="s">
        <v>394</v>
      </c>
      <c r="D598" s="6"/>
      <c r="E598" s="6"/>
      <c r="F598" s="6"/>
      <c r="G598" s="6"/>
      <c r="H598" s="6"/>
      <c r="I598" s="6"/>
      <c r="J598" s="6"/>
      <c r="K598" s="6"/>
      <c r="L598" s="6"/>
      <c r="M598" s="93"/>
      <c r="N598" s="11"/>
      <c r="O598" s="11"/>
      <c r="P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c r="BU598" s="11"/>
      <c r="BV598" s="11"/>
      <c r="BW598" s="11"/>
      <c r="BX598" s="11"/>
      <c r="BY598" s="11"/>
      <c r="BZ598" s="11"/>
      <c r="CA598" s="11"/>
      <c r="CB598" s="11"/>
      <c r="CC598" s="11"/>
      <c r="CD598" s="11"/>
      <c r="CE598" s="11"/>
      <c r="CF598" s="11"/>
      <c r="CG598" s="11"/>
      <c r="CH598" s="11"/>
      <c r="CI598" s="11"/>
      <c r="CJ598" s="11"/>
      <c r="CK598" s="11"/>
      <c r="CL598" s="11"/>
      <c r="CM598" s="11"/>
      <c r="CN598" s="11"/>
      <c r="CO598" s="11"/>
      <c r="CP598" s="11"/>
      <c r="CQ598" s="11"/>
      <c r="CR598" s="11"/>
      <c r="CS598" s="11"/>
      <c r="CT598" s="11"/>
      <c r="CU598" s="11"/>
      <c r="CV598" s="11"/>
    </row>
    <row r="599" spans="2:100" x14ac:dyDescent="0.55000000000000004">
      <c r="B599" s="74" t="s">
        <v>1499</v>
      </c>
      <c r="C599" s="18" t="s">
        <v>96</v>
      </c>
      <c r="D599" s="6"/>
      <c r="E599" s="6"/>
      <c r="F599" s="6"/>
      <c r="G599" s="6"/>
      <c r="H599" s="6"/>
      <c r="I599" s="6"/>
      <c r="J599" s="6"/>
      <c r="K599" s="6"/>
      <c r="L599" s="6"/>
      <c r="M599" s="93"/>
      <c r="N599" s="11"/>
      <c r="O599" s="11"/>
      <c r="P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c r="BU599" s="11"/>
      <c r="BV599" s="11"/>
      <c r="BW599" s="11"/>
      <c r="BX599" s="11"/>
      <c r="BY599" s="11"/>
      <c r="BZ599" s="11"/>
      <c r="CA599" s="11"/>
      <c r="CB599" s="11"/>
      <c r="CC599" s="11"/>
      <c r="CD599" s="11"/>
      <c r="CE599" s="11"/>
      <c r="CF599" s="11"/>
      <c r="CG599" s="11"/>
      <c r="CH599" s="11"/>
      <c r="CI599" s="11"/>
      <c r="CJ599" s="11"/>
      <c r="CK599" s="11"/>
      <c r="CL599" s="11"/>
      <c r="CM599" s="11"/>
      <c r="CN599" s="11"/>
      <c r="CO599" s="11"/>
      <c r="CP599" s="11"/>
      <c r="CQ599" s="11"/>
      <c r="CR599" s="11"/>
      <c r="CS599" s="11"/>
      <c r="CT599" s="11"/>
      <c r="CU599" s="11"/>
      <c r="CV599" s="11"/>
    </row>
    <row r="600" spans="2:100" x14ac:dyDescent="0.55000000000000004">
      <c r="B600" s="13" t="s">
        <v>1753</v>
      </c>
      <c r="C600" s="7">
        <v>0.01</v>
      </c>
      <c r="D600" s="6"/>
      <c r="E600" s="6"/>
      <c r="F600" s="6"/>
      <c r="G600" s="6"/>
      <c r="H600" s="6"/>
      <c r="I600" s="6"/>
      <c r="J600" s="6"/>
      <c r="K600" s="6"/>
      <c r="L600" s="6"/>
      <c r="M600" s="93"/>
      <c r="N600" s="11"/>
      <c r="O600" s="11"/>
      <c r="P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c r="BU600" s="11"/>
      <c r="BV600" s="11"/>
      <c r="BW600" s="11"/>
      <c r="BX600" s="11"/>
      <c r="BY600" s="11"/>
      <c r="BZ600" s="11"/>
      <c r="CA600" s="11"/>
      <c r="CB600" s="11"/>
      <c r="CC600" s="11"/>
      <c r="CD600" s="11"/>
      <c r="CE600" s="11"/>
      <c r="CF600" s="11"/>
      <c r="CG600" s="11"/>
      <c r="CH600" s="11"/>
      <c r="CI600" s="11"/>
      <c r="CJ600" s="11"/>
      <c r="CK600" s="11"/>
      <c r="CL600" s="11"/>
      <c r="CM600" s="11"/>
      <c r="CN600" s="11"/>
      <c r="CO600" s="11"/>
      <c r="CP600" s="11"/>
      <c r="CQ600" s="11"/>
      <c r="CR600" s="11"/>
      <c r="CS600" s="11"/>
      <c r="CT600" s="11"/>
      <c r="CU600" s="11"/>
      <c r="CV600" s="11"/>
    </row>
    <row r="601" spans="2:100" x14ac:dyDescent="0.55000000000000004">
      <c r="B601" s="13" t="s">
        <v>1754</v>
      </c>
      <c r="C601" s="7">
        <v>1.04</v>
      </c>
      <c r="D601" s="6"/>
      <c r="E601" s="6"/>
      <c r="F601" s="6"/>
      <c r="G601" s="6"/>
      <c r="H601" s="6"/>
      <c r="I601" s="6"/>
      <c r="J601" s="6"/>
      <c r="K601" s="6"/>
      <c r="L601" s="6"/>
      <c r="M601" s="93"/>
      <c r="N601" s="11"/>
      <c r="O601" s="11"/>
      <c r="P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c r="BU601" s="11"/>
      <c r="BV601" s="11"/>
      <c r="BW601" s="11"/>
      <c r="BX601" s="11"/>
      <c r="BY601" s="11"/>
      <c r="BZ601" s="11"/>
      <c r="CA601" s="11"/>
      <c r="CB601" s="11"/>
      <c r="CC601" s="11"/>
      <c r="CD601" s="11"/>
      <c r="CE601" s="11"/>
      <c r="CF601" s="11"/>
      <c r="CG601" s="11"/>
      <c r="CH601" s="11"/>
      <c r="CI601" s="11"/>
      <c r="CJ601" s="11"/>
      <c r="CK601" s="11"/>
      <c r="CL601" s="11"/>
      <c r="CM601" s="11"/>
      <c r="CN601" s="11"/>
      <c r="CO601" s="11"/>
      <c r="CP601" s="11"/>
      <c r="CQ601" s="11"/>
      <c r="CR601" s="11"/>
      <c r="CS601" s="11"/>
      <c r="CT601" s="11"/>
      <c r="CU601" s="11"/>
      <c r="CV601" s="11"/>
    </row>
    <row r="602" spans="2:100" x14ac:dyDescent="0.55000000000000004">
      <c r="B602" s="13" t="s">
        <v>1755</v>
      </c>
      <c r="C602" s="7">
        <v>1E-3</v>
      </c>
      <c r="D602" s="6"/>
      <c r="E602" s="6"/>
      <c r="F602" s="6"/>
      <c r="G602" s="6"/>
      <c r="H602" s="6"/>
      <c r="I602" s="6"/>
      <c r="J602" s="6"/>
      <c r="K602" s="6"/>
      <c r="L602" s="6"/>
      <c r="M602" s="93"/>
      <c r="N602" s="11"/>
      <c r="O602" s="11"/>
      <c r="P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c r="BU602" s="11"/>
      <c r="BV602" s="11"/>
      <c r="BW602" s="11"/>
      <c r="BX602" s="11"/>
      <c r="BY602" s="11"/>
      <c r="BZ602" s="11"/>
      <c r="CA602" s="11"/>
      <c r="CB602" s="11"/>
      <c r="CC602" s="11"/>
      <c r="CD602" s="11"/>
      <c r="CE602" s="11"/>
      <c r="CF602" s="11"/>
      <c r="CG602" s="11"/>
      <c r="CH602" s="11"/>
      <c r="CI602" s="11"/>
      <c r="CJ602" s="11"/>
      <c r="CK602" s="11"/>
      <c r="CL602" s="11"/>
      <c r="CM602" s="11"/>
      <c r="CN602" s="11"/>
      <c r="CO602" s="11"/>
      <c r="CP602" s="11"/>
      <c r="CQ602" s="11"/>
      <c r="CR602" s="11"/>
      <c r="CS602" s="11"/>
      <c r="CT602" s="11"/>
      <c r="CU602" s="11"/>
      <c r="CV602" s="11"/>
    </row>
    <row r="603" spans="2:100" x14ac:dyDescent="0.55000000000000004">
      <c r="B603" s="13" t="s">
        <v>1756</v>
      </c>
      <c r="C603" s="7">
        <v>1E-3</v>
      </c>
      <c r="D603" s="6"/>
      <c r="E603" s="6"/>
      <c r="F603" s="6"/>
      <c r="G603" s="6"/>
      <c r="H603" s="6"/>
      <c r="I603" s="6"/>
      <c r="J603" s="6"/>
      <c r="K603" s="6"/>
      <c r="L603" s="6"/>
      <c r="M603" s="93"/>
      <c r="N603" s="11"/>
      <c r="O603" s="11"/>
      <c r="P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c r="BU603" s="11"/>
      <c r="BV603" s="11"/>
      <c r="BW603" s="11"/>
      <c r="BX603" s="11"/>
      <c r="BY603" s="11"/>
      <c r="BZ603" s="11"/>
      <c r="CA603" s="11"/>
      <c r="CB603" s="11"/>
      <c r="CC603" s="11"/>
      <c r="CD603" s="11"/>
      <c r="CE603" s="11"/>
      <c r="CF603" s="11"/>
      <c r="CG603" s="11"/>
      <c r="CH603" s="11"/>
      <c r="CI603" s="11"/>
      <c r="CJ603" s="11"/>
      <c r="CK603" s="11"/>
      <c r="CL603" s="11"/>
      <c r="CM603" s="11"/>
      <c r="CN603" s="11"/>
      <c r="CO603" s="11"/>
      <c r="CP603" s="11"/>
      <c r="CQ603" s="11"/>
      <c r="CR603" s="11"/>
      <c r="CS603" s="11"/>
      <c r="CT603" s="11"/>
      <c r="CU603" s="11"/>
      <c r="CV603" s="11"/>
    </row>
    <row r="604" spans="2:100" x14ac:dyDescent="0.55000000000000004">
      <c r="B604" s="13" t="s">
        <v>1757</v>
      </c>
      <c r="C604" s="7">
        <v>1E-3</v>
      </c>
      <c r="D604" s="6"/>
      <c r="E604" s="6"/>
      <c r="F604" s="6"/>
      <c r="G604" s="6"/>
      <c r="H604" s="6"/>
      <c r="I604" s="6"/>
      <c r="J604" s="6"/>
      <c r="K604" s="6"/>
      <c r="L604" s="6"/>
      <c r="M604" s="93"/>
      <c r="N604" s="11"/>
      <c r="O604" s="11"/>
      <c r="P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c r="BU604" s="11"/>
      <c r="BV604" s="11"/>
      <c r="BW604" s="11"/>
      <c r="BX604" s="11"/>
      <c r="BY604" s="11"/>
      <c r="BZ604" s="11"/>
      <c r="CA604" s="11"/>
      <c r="CB604" s="11"/>
      <c r="CC604" s="11"/>
      <c r="CD604" s="11"/>
      <c r="CE604" s="11"/>
      <c r="CF604" s="11"/>
      <c r="CG604" s="11"/>
      <c r="CH604" s="11"/>
      <c r="CI604" s="11"/>
      <c r="CJ604" s="11"/>
      <c r="CK604" s="11"/>
      <c r="CL604" s="11"/>
      <c r="CM604" s="11"/>
      <c r="CN604" s="11"/>
      <c r="CO604" s="11"/>
      <c r="CP604" s="11"/>
      <c r="CQ604" s="11"/>
      <c r="CR604" s="11"/>
      <c r="CS604" s="11"/>
      <c r="CT604" s="11"/>
      <c r="CU604" s="11"/>
      <c r="CV604" s="11"/>
    </row>
    <row r="605" spans="2:100" x14ac:dyDescent="0.55000000000000004">
      <c r="B605" s="21"/>
      <c r="C605" s="18" t="s">
        <v>394</v>
      </c>
      <c r="D605" s="6"/>
      <c r="E605" s="6"/>
      <c r="F605" s="6"/>
      <c r="G605" s="6"/>
      <c r="H605" s="6"/>
      <c r="I605" s="6"/>
      <c r="J605" s="6"/>
      <c r="K605" s="6"/>
      <c r="L605" s="6"/>
      <c r="M605" s="93"/>
      <c r="N605" s="11"/>
      <c r="O605" s="11"/>
      <c r="P605" s="11"/>
      <c r="Z605" s="11"/>
      <c r="AA605" s="11"/>
      <c r="AB605" s="11"/>
      <c r="AC605" s="11"/>
      <c r="AD605" s="11"/>
      <c r="AE605" s="11"/>
      <c r="AF605" s="11"/>
      <c r="AG605" s="11"/>
      <c r="AH605" s="11"/>
      <c r="AI605" s="11"/>
      <c r="AJ605" s="11"/>
      <c r="AK605" s="11"/>
      <c r="AL605" s="11"/>
      <c r="AM605" s="11"/>
      <c r="AN605" s="11"/>
      <c r="AO605" s="11"/>
      <c r="AP605" s="11"/>
    </row>
    <row r="606" spans="2:100" x14ac:dyDescent="0.55000000000000004">
      <c r="B606" s="74" t="s">
        <v>140</v>
      </c>
      <c r="C606" s="18" t="s">
        <v>75</v>
      </c>
      <c r="D606" s="6"/>
      <c r="E606" s="6"/>
      <c r="F606" s="6"/>
      <c r="G606" s="6"/>
      <c r="H606" s="6"/>
      <c r="I606" s="6"/>
      <c r="J606" s="6"/>
      <c r="K606" s="6"/>
      <c r="L606" s="6"/>
      <c r="M606" s="93"/>
      <c r="N606" s="11"/>
      <c r="O606" s="11"/>
      <c r="P606" s="11"/>
      <c r="Z606" s="11"/>
      <c r="AA606" s="11"/>
      <c r="AB606" s="11"/>
      <c r="AC606" s="11"/>
      <c r="AD606" s="11"/>
      <c r="AE606" s="11"/>
      <c r="AF606" s="11"/>
      <c r="AG606" s="11"/>
      <c r="AH606" s="11"/>
      <c r="AI606" s="11"/>
      <c r="AJ606" s="11"/>
      <c r="AK606" s="11"/>
      <c r="AL606" s="11"/>
      <c r="AM606" s="11"/>
      <c r="AN606" s="11"/>
      <c r="AO606" s="11"/>
      <c r="AP606" s="11"/>
    </row>
    <row r="607" spans="2:100" x14ac:dyDescent="0.55000000000000004">
      <c r="B607" s="13" t="s">
        <v>380</v>
      </c>
      <c r="C607" s="7">
        <v>2</v>
      </c>
      <c r="D607" s="6"/>
      <c r="E607" s="6"/>
      <c r="F607" s="6"/>
      <c r="G607" s="6"/>
      <c r="H607" s="6"/>
      <c r="I607" s="6"/>
      <c r="J607" s="6"/>
      <c r="K607" s="6"/>
      <c r="L607" s="6"/>
      <c r="M607" s="93"/>
      <c r="N607" s="11"/>
      <c r="O607" s="11"/>
      <c r="P607" s="11"/>
      <c r="Z607" s="11"/>
      <c r="AA607" s="11"/>
      <c r="AB607" s="11"/>
      <c r="AC607" s="11"/>
      <c r="AD607" s="11"/>
      <c r="AE607" s="11"/>
      <c r="AF607" s="11"/>
      <c r="AG607" s="11"/>
      <c r="AH607" s="11"/>
      <c r="AI607" s="11"/>
      <c r="AJ607" s="11"/>
      <c r="AK607" s="11"/>
      <c r="AL607" s="11"/>
      <c r="AM607" s="11"/>
      <c r="AN607" s="11"/>
      <c r="AO607" s="11"/>
      <c r="AP607" s="11"/>
    </row>
    <row r="608" spans="2:100" x14ac:dyDescent="0.55000000000000004">
      <c r="B608" s="13" t="s">
        <v>1187</v>
      </c>
      <c r="C608" s="7">
        <v>0.04</v>
      </c>
      <c r="D608" s="6"/>
      <c r="E608" s="6"/>
      <c r="F608" s="6"/>
      <c r="G608" s="6"/>
      <c r="H608" s="6"/>
      <c r="I608" s="6"/>
      <c r="J608" s="6"/>
      <c r="K608" s="6"/>
      <c r="L608" s="6"/>
      <c r="M608" s="93"/>
      <c r="N608" s="11"/>
      <c r="O608" s="11"/>
      <c r="P608" s="11"/>
      <c r="Z608" s="11"/>
      <c r="AA608" s="11"/>
      <c r="AB608" s="11"/>
      <c r="AC608" s="11"/>
      <c r="AD608" s="11"/>
      <c r="AE608" s="11"/>
      <c r="AF608" s="11"/>
      <c r="AG608" s="11"/>
      <c r="AH608" s="11"/>
      <c r="AI608" s="11"/>
      <c r="AJ608" s="11"/>
      <c r="AK608" s="11"/>
      <c r="AL608" s="11"/>
      <c r="AM608" s="11"/>
      <c r="AN608" s="11"/>
      <c r="AO608" s="11"/>
      <c r="AP608" s="11"/>
    </row>
    <row r="609" spans="1:42" x14ac:dyDescent="0.55000000000000004">
      <c r="B609" s="13" t="s">
        <v>188</v>
      </c>
      <c r="C609" s="7">
        <v>0.04</v>
      </c>
      <c r="D609" s="6"/>
      <c r="E609" s="6"/>
      <c r="F609" s="6"/>
      <c r="G609" s="6"/>
      <c r="H609" s="6"/>
      <c r="I609" s="6"/>
      <c r="J609" s="6"/>
      <c r="K609" s="6"/>
      <c r="L609" s="6"/>
      <c r="M609" s="93"/>
    </row>
    <row r="610" spans="1:42" x14ac:dyDescent="0.55000000000000004">
      <c r="B610" s="13" t="s">
        <v>189</v>
      </c>
      <c r="C610" s="7">
        <v>0.1</v>
      </c>
      <c r="D610" s="6"/>
      <c r="E610" s="6"/>
      <c r="F610" s="6"/>
      <c r="G610" s="6"/>
      <c r="H610" s="6"/>
      <c r="I610" s="6"/>
      <c r="J610" s="6"/>
      <c r="K610" s="6"/>
      <c r="L610" s="6"/>
      <c r="M610" s="93"/>
    </row>
    <row r="611" spans="1:42" x14ac:dyDescent="0.55000000000000004">
      <c r="B611" s="13" t="s">
        <v>381</v>
      </c>
      <c r="C611" s="7">
        <v>0.1</v>
      </c>
      <c r="D611" s="6"/>
      <c r="E611" s="6"/>
      <c r="F611" s="6"/>
      <c r="G611" s="6"/>
      <c r="H611" s="6"/>
      <c r="I611" s="6"/>
      <c r="J611" s="6"/>
      <c r="K611" s="6"/>
      <c r="L611" s="6"/>
      <c r="M611" s="93"/>
    </row>
    <row r="612" spans="1:42" x14ac:dyDescent="0.55000000000000004">
      <c r="B612" s="13" t="s">
        <v>382</v>
      </c>
      <c r="C612" s="7">
        <v>3.0000000000000001E-3</v>
      </c>
      <c r="D612" s="6"/>
      <c r="E612" s="6"/>
      <c r="F612" s="6"/>
      <c r="G612" s="6"/>
      <c r="H612" s="6"/>
      <c r="I612" s="6"/>
      <c r="J612" s="6"/>
      <c r="K612" s="6"/>
      <c r="L612" s="6"/>
      <c r="M612" s="93"/>
    </row>
    <row r="613" spans="1:42" x14ac:dyDescent="0.55000000000000004">
      <c r="B613" s="13" t="s">
        <v>383</v>
      </c>
      <c r="C613" s="7">
        <v>1.4E-2</v>
      </c>
      <c r="D613" s="6"/>
      <c r="E613" s="6"/>
      <c r="F613" s="6"/>
      <c r="G613" s="6"/>
      <c r="H613" s="6"/>
      <c r="I613" s="6"/>
      <c r="J613" s="6"/>
      <c r="K613" s="6"/>
      <c r="L613" s="6"/>
      <c r="M613" s="93"/>
    </row>
    <row r="614" spans="1:42" x14ac:dyDescent="0.55000000000000004">
      <c r="B614" s="13" t="s">
        <v>384</v>
      </c>
      <c r="C614" s="7">
        <v>0</v>
      </c>
      <c r="D614" s="6"/>
      <c r="E614" s="6"/>
      <c r="F614" s="6"/>
      <c r="G614" s="6"/>
      <c r="H614" s="6"/>
      <c r="I614" s="6"/>
      <c r="J614" s="6"/>
      <c r="K614" s="6"/>
      <c r="L614" s="6"/>
      <c r="M614" s="93"/>
    </row>
    <row r="615" spans="1:42" x14ac:dyDescent="0.55000000000000004">
      <c r="B615" s="13" t="s">
        <v>1188</v>
      </c>
      <c r="C615" s="7">
        <v>100</v>
      </c>
      <c r="D615" s="6"/>
      <c r="E615" s="6"/>
      <c r="F615" s="6"/>
      <c r="G615" s="6"/>
      <c r="H615" s="6"/>
      <c r="I615" s="6"/>
      <c r="J615" s="6"/>
      <c r="K615" s="6"/>
      <c r="L615" s="6"/>
      <c r="M615" s="93"/>
    </row>
    <row r="616" spans="1:42" x14ac:dyDescent="0.55000000000000004">
      <c r="B616" s="13" t="s">
        <v>544</v>
      </c>
      <c r="C616" s="7">
        <v>5</v>
      </c>
      <c r="D616" s="6"/>
      <c r="E616" s="6"/>
      <c r="F616" s="6"/>
      <c r="G616" s="6"/>
      <c r="H616" s="6"/>
      <c r="I616" s="6"/>
      <c r="J616" s="6"/>
      <c r="K616" s="6"/>
      <c r="L616" s="6"/>
      <c r="M616" s="93"/>
    </row>
    <row r="617" spans="1:42" x14ac:dyDescent="0.55000000000000004">
      <c r="B617" s="13" t="s">
        <v>545</v>
      </c>
      <c r="C617" s="7">
        <v>30</v>
      </c>
      <c r="D617" s="6"/>
      <c r="E617" s="6"/>
      <c r="F617" s="6"/>
      <c r="G617" s="6"/>
      <c r="H617" s="6"/>
      <c r="I617" s="6"/>
      <c r="J617" s="6"/>
      <c r="K617" s="6"/>
      <c r="L617" s="6"/>
      <c r="M617" s="93"/>
    </row>
    <row r="618" spans="1:42" s="2" customFormat="1" x14ac:dyDescent="0.55000000000000004">
      <c r="A618" s="30"/>
      <c r="B618" s="13" t="s">
        <v>546</v>
      </c>
      <c r="C618" s="7">
        <v>35</v>
      </c>
      <c r="D618" s="6"/>
      <c r="E618" s="6"/>
      <c r="F618" s="6"/>
      <c r="G618" s="6"/>
      <c r="H618" s="6"/>
      <c r="I618" s="6"/>
      <c r="J618" s="6"/>
      <c r="K618" s="6"/>
      <c r="L618" s="6"/>
      <c r="M618" s="93"/>
      <c r="N618"/>
      <c r="O618"/>
      <c r="P618"/>
      <c r="Q618"/>
      <c r="R618"/>
      <c r="S618"/>
      <c r="T618"/>
      <c r="U618"/>
      <c r="V618"/>
      <c r="W618"/>
      <c r="X618"/>
      <c r="Y618"/>
      <c r="Z618"/>
      <c r="AA618"/>
      <c r="AB618"/>
      <c r="AC618"/>
      <c r="AD618"/>
      <c r="AE618"/>
      <c r="AF618"/>
      <c r="AG618"/>
      <c r="AH618"/>
      <c r="AI618"/>
      <c r="AJ618"/>
      <c r="AK618"/>
      <c r="AL618"/>
      <c r="AM618"/>
      <c r="AN618"/>
      <c r="AO618"/>
      <c r="AP618"/>
    </row>
    <row r="619" spans="1:42" x14ac:dyDescent="0.55000000000000004">
      <c r="B619" s="13" t="s">
        <v>547</v>
      </c>
      <c r="C619" s="7">
        <v>40</v>
      </c>
      <c r="D619" s="6"/>
      <c r="E619" s="6"/>
      <c r="F619" s="6"/>
      <c r="G619" s="6"/>
      <c r="H619" s="6"/>
      <c r="I619" s="6"/>
      <c r="J619" s="6"/>
      <c r="K619" s="6"/>
      <c r="L619" s="6"/>
      <c r="M619" s="93"/>
    </row>
    <row r="620" spans="1:42" x14ac:dyDescent="0.55000000000000004">
      <c r="B620" s="13" t="s">
        <v>548</v>
      </c>
      <c r="C620" s="7">
        <v>0.1</v>
      </c>
      <c r="D620" s="6"/>
      <c r="E620" s="6"/>
      <c r="F620" s="6"/>
      <c r="G620" s="6"/>
      <c r="H620" s="6"/>
      <c r="I620" s="6"/>
      <c r="J620" s="6"/>
      <c r="K620" s="6"/>
      <c r="L620" s="6"/>
      <c r="M620" s="93"/>
    </row>
    <row r="621" spans="1:42" x14ac:dyDescent="0.55000000000000004">
      <c r="B621" s="13" t="s">
        <v>549</v>
      </c>
      <c r="C621" s="7">
        <v>0.99</v>
      </c>
      <c r="D621" s="6"/>
      <c r="E621" s="6"/>
      <c r="F621" s="6"/>
      <c r="G621" s="6"/>
      <c r="H621" s="6"/>
      <c r="I621" s="6"/>
      <c r="J621" s="6"/>
      <c r="K621" s="6"/>
      <c r="L621" s="6"/>
      <c r="M621" s="93"/>
    </row>
    <row r="622" spans="1:42" x14ac:dyDescent="0.55000000000000004">
      <c r="B622" s="13" t="s">
        <v>550</v>
      </c>
      <c r="C622" s="7">
        <v>0.99</v>
      </c>
      <c r="D622" s="6"/>
      <c r="E622" s="6"/>
      <c r="F622" s="6"/>
      <c r="G622" s="6"/>
      <c r="H622" s="6"/>
      <c r="I622" s="6"/>
      <c r="J622" s="6"/>
      <c r="K622" s="6"/>
      <c r="L622" s="6"/>
      <c r="M622" s="93"/>
    </row>
    <row r="623" spans="1:42" x14ac:dyDescent="0.55000000000000004">
      <c r="B623" s="13" t="s">
        <v>551</v>
      </c>
      <c r="C623" s="7">
        <v>0.1</v>
      </c>
      <c r="D623" s="6"/>
      <c r="E623" s="6"/>
      <c r="F623" s="6"/>
      <c r="G623" s="6"/>
      <c r="H623" s="6"/>
      <c r="I623" s="6"/>
      <c r="J623" s="6"/>
      <c r="K623" s="6"/>
      <c r="L623" s="6"/>
      <c r="M623" s="93"/>
    </row>
    <row r="624" spans="1:42" x14ac:dyDescent="0.55000000000000004">
      <c r="B624" s="13" t="s">
        <v>552</v>
      </c>
      <c r="C624" s="7">
        <v>5.0000000000000001E-3</v>
      </c>
      <c r="D624" s="6"/>
      <c r="E624" s="6"/>
      <c r="F624" s="6"/>
      <c r="G624" s="6"/>
      <c r="H624" s="6"/>
      <c r="I624" s="6"/>
      <c r="J624" s="6"/>
      <c r="K624" s="6"/>
      <c r="L624" s="6"/>
      <c r="M624" s="93"/>
      <c r="O624" s="2"/>
      <c r="P624" s="2"/>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20" x14ac:dyDescent="0.55000000000000004">
      <c r="B625" s="13" t="s">
        <v>553</v>
      </c>
      <c r="C625" s="7">
        <v>0.08</v>
      </c>
      <c r="D625" s="6"/>
      <c r="E625" s="6"/>
      <c r="F625" s="6"/>
      <c r="G625" s="6"/>
      <c r="H625" s="6"/>
      <c r="I625" s="6"/>
      <c r="J625" s="6"/>
      <c r="K625" s="6"/>
      <c r="L625" s="6"/>
      <c r="M625" s="93"/>
    </row>
    <row r="626" spans="1:20" x14ac:dyDescent="0.55000000000000004">
      <c r="B626" s="13" t="s">
        <v>554</v>
      </c>
      <c r="C626" s="7">
        <v>0.45</v>
      </c>
      <c r="D626" s="6"/>
      <c r="E626" s="6"/>
      <c r="F626" s="6"/>
      <c r="G626" s="6"/>
      <c r="H626" s="6"/>
      <c r="I626" s="6"/>
      <c r="J626" s="6"/>
      <c r="K626" s="6"/>
      <c r="L626" s="6"/>
      <c r="M626" s="93"/>
      <c r="T626" s="2"/>
    </row>
    <row r="627" spans="1:20" x14ac:dyDescent="0.55000000000000004">
      <c r="B627" s="13" t="s">
        <v>555</v>
      </c>
      <c r="C627" s="7">
        <v>0</v>
      </c>
      <c r="D627" s="6"/>
      <c r="E627" s="6"/>
      <c r="F627" s="6"/>
      <c r="G627" s="6"/>
      <c r="H627" s="6"/>
      <c r="I627" s="6"/>
      <c r="J627" s="6"/>
      <c r="K627" s="6"/>
      <c r="L627" s="6"/>
      <c r="M627" s="93"/>
    </row>
    <row r="628" spans="1:20" x14ac:dyDescent="0.55000000000000004">
      <c r="B628" s="13" t="s">
        <v>556</v>
      </c>
      <c r="C628" s="7">
        <v>6.5000000000000002E-2</v>
      </c>
      <c r="D628" s="6"/>
      <c r="E628" s="6"/>
      <c r="F628" s="6"/>
      <c r="G628" s="6"/>
      <c r="H628" s="6"/>
      <c r="I628" s="6"/>
      <c r="J628" s="6"/>
      <c r="K628" s="6"/>
      <c r="L628" s="6"/>
      <c r="M628" s="93"/>
    </row>
    <row r="629" spans="1:20" x14ac:dyDescent="0.55000000000000004">
      <c r="B629" s="13" t="s">
        <v>557</v>
      </c>
      <c r="C629" s="7">
        <v>0.8</v>
      </c>
      <c r="D629" s="6"/>
      <c r="E629" s="6"/>
      <c r="F629" s="6"/>
      <c r="G629" s="6"/>
      <c r="H629" s="6"/>
      <c r="I629" s="6"/>
      <c r="J629" s="6"/>
      <c r="K629" s="6"/>
      <c r="L629" s="6"/>
      <c r="M629" s="93"/>
    </row>
    <row r="630" spans="1:20" x14ac:dyDescent="0.55000000000000004">
      <c r="B630" s="13" t="s">
        <v>558</v>
      </c>
      <c r="C630" s="7">
        <v>1</v>
      </c>
      <c r="D630" s="6"/>
      <c r="E630" s="6"/>
      <c r="F630" s="6"/>
      <c r="G630" s="6"/>
      <c r="H630" s="6"/>
      <c r="I630" s="6"/>
      <c r="J630" s="6"/>
      <c r="K630" s="6"/>
      <c r="L630" s="6"/>
      <c r="M630" s="93"/>
    </row>
    <row r="631" spans="1:20" x14ac:dyDescent="0.55000000000000004">
      <c r="B631" s="13" t="s">
        <v>559</v>
      </c>
      <c r="C631" s="7">
        <v>1E-3</v>
      </c>
      <c r="D631" s="6"/>
      <c r="E631" s="6"/>
      <c r="F631" s="6"/>
      <c r="G631" s="6"/>
      <c r="H631" s="6"/>
      <c r="I631" s="6"/>
      <c r="J631" s="6"/>
      <c r="K631" s="6"/>
      <c r="L631" s="6"/>
      <c r="M631" s="93"/>
      <c r="O631" s="11"/>
      <c r="P631" s="2"/>
      <c r="Q631" s="2"/>
    </row>
    <row r="632" spans="1:20" x14ac:dyDescent="0.55000000000000004">
      <c r="B632" s="13" t="s">
        <v>779</v>
      </c>
      <c r="C632" s="7">
        <v>1.1000000000000001</v>
      </c>
      <c r="D632" s="6"/>
      <c r="E632" s="6"/>
      <c r="F632" s="6"/>
      <c r="G632" s="6"/>
      <c r="H632" s="6"/>
      <c r="I632" s="6"/>
      <c r="J632" s="6"/>
      <c r="K632" s="6"/>
      <c r="L632" s="6"/>
      <c r="M632" s="93"/>
    </row>
    <row r="633" spans="1:20" x14ac:dyDescent="0.55000000000000004">
      <c r="B633" s="13" t="s">
        <v>778</v>
      </c>
      <c r="C633" s="7">
        <v>1.4</v>
      </c>
      <c r="D633" s="6"/>
      <c r="E633" s="6"/>
      <c r="F633" s="6"/>
      <c r="G633" s="6"/>
      <c r="H633" s="6"/>
      <c r="I633" s="6"/>
      <c r="J633" s="6"/>
      <c r="K633" s="6"/>
      <c r="L633" s="6"/>
      <c r="M633" s="93"/>
    </row>
    <row r="634" spans="1:20" x14ac:dyDescent="0.55000000000000004">
      <c r="A634" s="30" t="s">
        <v>1868</v>
      </c>
      <c r="B634" s="13" t="s">
        <v>1869</v>
      </c>
      <c r="C634" s="7" t="s">
        <v>2</v>
      </c>
      <c r="D634" s="7"/>
      <c r="E634" s="6"/>
      <c r="F634" s="6"/>
      <c r="G634" s="6"/>
      <c r="H634" s="6"/>
      <c r="I634" s="6"/>
      <c r="J634" s="6"/>
      <c r="K634" s="6"/>
      <c r="L634" s="6"/>
      <c r="M634" s="6"/>
    </row>
    <row r="635" spans="1:20" x14ac:dyDescent="0.55000000000000004">
      <c r="B635" s="21"/>
      <c r="C635" s="6" t="s">
        <v>394</v>
      </c>
      <c r="D635" s="6"/>
      <c r="E635" s="6"/>
      <c r="F635" s="6"/>
      <c r="G635" s="6"/>
      <c r="H635" s="6"/>
      <c r="I635" s="6"/>
      <c r="J635" s="6"/>
      <c r="K635" s="6"/>
      <c r="L635" s="6"/>
      <c r="M635" s="93"/>
    </row>
    <row r="636" spans="1:20" x14ac:dyDescent="0.55000000000000004">
      <c r="B636" s="74" t="s">
        <v>569</v>
      </c>
      <c r="C636" s="6" t="s">
        <v>96</v>
      </c>
      <c r="D636" s="6"/>
      <c r="E636" s="6"/>
      <c r="F636" s="6"/>
      <c r="G636" s="6"/>
      <c r="H636" s="6"/>
      <c r="I636" s="6"/>
      <c r="J636" s="6"/>
      <c r="K636" s="6"/>
      <c r="L636" s="6"/>
      <c r="M636" s="93"/>
    </row>
    <row r="637" spans="1:20" x14ac:dyDescent="0.55000000000000004">
      <c r="A637" s="23" t="s">
        <v>578</v>
      </c>
      <c r="B637" s="13" t="s">
        <v>560</v>
      </c>
      <c r="C637" s="7" t="s">
        <v>924</v>
      </c>
      <c r="D637" s="6"/>
      <c r="E637" s="6"/>
      <c r="F637" s="6"/>
      <c r="G637" s="6"/>
      <c r="H637" s="6"/>
      <c r="I637" s="6"/>
      <c r="J637" s="6"/>
      <c r="K637" s="6"/>
      <c r="L637" s="6"/>
      <c r="M637" s="93"/>
    </row>
    <row r="638" spans="1:20" x14ac:dyDescent="0.55000000000000004">
      <c r="A638" s="30" t="s">
        <v>891</v>
      </c>
      <c r="B638" s="13" t="s">
        <v>561</v>
      </c>
      <c r="C638" s="7" t="s">
        <v>924</v>
      </c>
      <c r="D638" s="6"/>
      <c r="E638" s="6"/>
      <c r="F638" s="6"/>
      <c r="G638" s="6"/>
      <c r="H638" s="6"/>
      <c r="I638" s="6"/>
      <c r="J638" s="6"/>
      <c r="K638" s="6"/>
      <c r="L638" s="6"/>
      <c r="M638" s="93"/>
    </row>
    <row r="639" spans="1:20" x14ac:dyDescent="0.55000000000000004">
      <c r="B639" s="13" t="s">
        <v>562</v>
      </c>
      <c r="C639" s="7">
        <v>20</v>
      </c>
      <c r="D639" s="6"/>
      <c r="E639" s="6"/>
      <c r="F639" s="6"/>
      <c r="G639" s="6"/>
      <c r="H639" s="6"/>
      <c r="I639" s="6"/>
      <c r="J639" s="6"/>
      <c r="K639" s="6"/>
      <c r="L639" s="6"/>
      <c r="M639" s="93"/>
    </row>
    <row r="640" spans="1:20" x14ac:dyDescent="0.55000000000000004">
      <c r="B640" s="13" t="s">
        <v>563</v>
      </c>
      <c r="C640" s="7" t="s">
        <v>394</v>
      </c>
      <c r="D640" s="6"/>
      <c r="E640" s="6"/>
      <c r="F640" s="6"/>
      <c r="G640" s="6"/>
      <c r="H640" s="6"/>
      <c r="I640" s="6"/>
      <c r="J640" s="6"/>
      <c r="K640" s="6"/>
      <c r="L640" s="6"/>
      <c r="M640" s="93"/>
    </row>
    <row r="641" spans="1:19" x14ac:dyDescent="0.55000000000000004">
      <c r="B641" s="13" t="s">
        <v>564</v>
      </c>
      <c r="C641" s="7" t="s">
        <v>394</v>
      </c>
      <c r="D641" s="6"/>
      <c r="E641" s="6"/>
      <c r="F641" s="6"/>
      <c r="G641" s="6"/>
      <c r="H641" s="6"/>
      <c r="I641" s="6"/>
      <c r="J641" s="6"/>
      <c r="K641" s="6"/>
      <c r="L641" s="6"/>
      <c r="M641" s="93"/>
    </row>
    <row r="642" spans="1:19" x14ac:dyDescent="0.55000000000000004">
      <c r="B642" s="13" t="s">
        <v>565</v>
      </c>
      <c r="C642" s="7" t="s">
        <v>394</v>
      </c>
      <c r="D642" s="6"/>
      <c r="E642" s="6"/>
      <c r="F642" s="6"/>
      <c r="G642" s="6"/>
      <c r="H642" s="6"/>
      <c r="I642" s="6"/>
      <c r="J642" s="6"/>
      <c r="K642" s="6"/>
      <c r="L642" s="6"/>
      <c r="M642" s="93"/>
      <c r="N642" s="2"/>
      <c r="O642" s="2"/>
      <c r="P642" s="2"/>
      <c r="Q642" s="2"/>
      <c r="R642" s="2"/>
      <c r="S642" s="2"/>
    </row>
    <row r="643" spans="1:19" x14ac:dyDescent="0.55000000000000004">
      <c r="B643" s="13" t="s">
        <v>566</v>
      </c>
      <c r="C643" s="7" t="s">
        <v>394</v>
      </c>
      <c r="D643" s="6"/>
      <c r="E643" s="6"/>
      <c r="F643" s="6"/>
      <c r="G643" s="6"/>
      <c r="H643" s="6"/>
      <c r="I643" s="6"/>
      <c r="J643" s="6"/>
      <c r="K643" s="6"/>
      <c r="L643" s="6"/>
      <c r="M643" s="93"/>
    </row>
    <row r="644" spans="1:19" x14ac:dyDescent="0.55000000000000004">
      <c r="B644" s="13" t="s">
        <v>567</v>
      </c>
      <c r="C644" s="7" t="s">
        <v>394</v>
      </c>
      <c r="D644" s="6"/>
      <c r="E644" s="6"/>
      <c r="F644" s="6"/>
      <c r="G644" s="6"/>
      <c r="H644" s="6"/>
      <c r="I644" s="6"/>
      <c r="J644" s="6"/>
      <c r="K644" s="6"/>
      <c r="L644" s="6"/>
      <c r="M644" s="93"/>
    </row>
    <row r="645" spans="1:19" x14ac:dyDescent="0.55000000000000004">
      <c r="B645" s="13" t="s">
        <v>568</v>
      </c>
      <c r="C645" s="7" t="s">
        <v>394</v>
      </c>
      <c r="D645" s="6"/>
      <c r="E645" s="6"/>
      <c r="F645" s="6"/>
      <c r="G645" s="6"/>
      <c r="H645" s="6"/>
      <c r="I645" s="6"/>
      <c r="J645" s="6"/>
      <c r="K645" s="6"/>
      <c r="L645" s="6"/>
      <c r="M645" s="93"/>
    </row>
    <row r="646" spans="1:19" x14ac:dyDescent="0.55000000000000004">
      <c r="B646" s="13" t="s">
        <v>570</v>
      </c>
      <c r="C646" s="7" t="s">
        <v>394</v>
      </c>
      <c r="D646" s="6"/>
      <c r="E646" s="6"/>
      <c r="F646" s="6"/>
      <c r="G646" s="6"/>
      <c r="H646" s="6"/>
      <c r="I646" s="6"/>
      <c r="J646" s="6"/>
      <c r="K646" s="6"/>
      <c r="L646" s="6"/>
      <c r="M646" s="93"/>
    </row>
    <row r="647" spans="1:19" x14ac:dyDescent="0.55000000000000004">
      <c r="B647" s="13" t="s">
        <v>571</v>
      </c>
      <c r="C647" s="7" t="s">
        <v>394</v>
      </c>
      <c r="D647" s="6"/>
      <c r="E647" s="6"/>
      <c r="F647" s="6"/>
      <c r="G647" s="6"/>
      <c r="H647" s="6"/>
      <c r="I647" s="6"/>
      <c r="J647" s="6"/>
      <c r="K647" s="6"/>
      <c r="L647" s="6"/>
      <c r="M647" s="93"/>
    </row>
    <row r="648" spans="1:19" x14ac:dyDescent="0.55000000000000004">
      <c r="B648" s="13" t="s">
        <v>572</v>
      </c>
      <c r="C648" s="7" t="s">
        <v>394</v>
      </c>
      <c r="D648" s="6"/>
      <c r="E648" s="6"/>
      <c r="F648" s="6"/>
      <c r="G648" s="6"/>
      <c r="H648" s="6"/>
      <c r="I648" s="6"/>
      <c r="J648" s="6"/>
      <c r="K648" s="6"/>
      <c r="L648" s="6"/>
      <c r="M648" s="93"/>
    </row>
    <row r="649" spans="1:19" x14ac:dyDescent="0.55000000000000004">
      <c r="B649" s="13" t="s">
        <v>573</v>
      </c>
      <c r="C649" s="7" t="s">
        <v>394</v>
      </c>
      <c r="D649" s="6"/>
      <c r="E649" s="6"/>
      <c r="F649" s="6"/>
      <c r="G649" s="6"/>
      <c r="H649" s="6"/>
      <c r="I649" s="6"/>
      <c r="J649" s="6"/>
      <c r="K649" s="6"/>
      <c r="L649" s="6"/>
      <c r="M649" s="93"/>
    </row>
    <row r="650" spans="1:19" x14ac:dyDescent="0.55000000000000004">
      <c r="B650" s="13" t="s">
        <v>574</v>
      </c>
      <c r="C650" s="7" t="s">
        <v>394</v>
      </c>
      <c r="D650" s="6"/>
      <c r="E650" s="6"/>
      <c r="F650" s="6"/>
      <c r="G650" s="6"/>
      <c r="H650" s="6"/>
      <c r="I650" s="6"/>
      <c r="J650" s="6"/>
      <c r="K650" s="6"/>
      <c r="L650" s="6"/>
      <c r="M650" s="93"/>
    </row>
    <row r="651" spans="1:19" x14ac:dyDescent="0.55000000000000004">
      <c r="B651" s="13" t="s">
        <v>575</v>
      </c>
      <c r="C651" s="7" t="s">
        <v>394</v>
      </c>
      <c r="D651" s="6"/>
      <c r="E651" s="6"/>
      <c r="F651" s="6"/>
      <c r="G651" s="6"/>
      <c r="H651" s="6"/>
      <c r="I651" s="6"/>
      <c r="J651" s="6"/>
      <c r="K651" s="6"/>
      <c r="L651" s="6"/>
      <c r="M651" s="93"/>
    </row>
    <row r="652" spans="1:19" x14ac:dyDescent="0.55000000000000004">
      <c r="A652" s="39" t="s">
        <v>892</v>
      </c>
      <c r="B652" s="22"/>
      <c r="C652" s="6" t="s">
        <v>394</v>
      </c>
      <c r="D652" s="6"/>
      <c r="E652" s="6"/>
      <c r="F652" s="6"/>
      <c r="G652" s="6"/>
      <c r="H652" s="6"/>
      <c r="I652" s="6"/>
      <c r="J652" s="6"/>
      <c r="K652" s="6"/>
      <c r="L652" s="6"/>
      <c r="M652" s="93"/>
    </row>
    <row r="653" spans="1:19" x14ac:dyDescent="0.55000000000000004">
      <c r="B653" s="80" t="s">
        <v>577</v>
      </c>
      <c r="C653" s="6" t="s">
        <v>1089</v>
      </c>
      <c r="D653" s="6"/>
      <c r="E653" s="6"/>
      <c r="F653" s="6"/>
      <c r="G653" s="6"/>
      <c r="H653" s="6"/>
      <c r="I653" s="6"/>
      <c r="J653" s="6"/>
      <c r="K653" s="6"/>
      <c r="L653" s="6"/>
      <c r="M653" s="93"/>
    </row>
    <row r="654" spans="1:19" x14ac:dyDescent="0.55000000000000004">
      <c r="B654" s="13" t="s">
        <v>122</v>
      </c>
      <c r="C654" s="7">
        <v>1.5</v>
      </c>
      <c r="D654" s="6"/>
      <c r="E654" s="6"/>
      <c r="F654" s="6"/>
      <c r="G654" s="6"/>
      <c r="H654" s="6"/>
      <c r="I654" s="6"/>
      <c r="J654" s="6"/>
      <c r="K654" s="6"/>
      <c r="L654" s="6"/>
      <c r="M654" s="93"/>
    </row>
    <row r="655" spans="1:19" x14ac:dyDescent="0.55000000000000004">
      <c r="B655" s="13" t="s">
        <v>123</v>
      </c>
      <c r="C655" s="7">
        <v>0.05</v>
      </c>
      <c r="D655" s="6"/>
      <c r="E655" s="6"/>
      <c r="F655" s="6"/>
      <c r="G655" s="6"/>
      <c r="H655" s="6"/>
      <c r="I655" s="6"/>
      <c r="J655" s="6"/>
      <c r="K655" s="6"/>
      <c r="L655" s="6"/>
      <c r="M655" s="93"/>
    </row>
    <row r="656" spans="1:19" x14ac:dyDescent="0.55000000000000004">
      <c r="B656" s="13" t="s">
        <v>124</v>
      </c>
      <c r="C656" s="7">
        <v>0.02</v>
      </c>
      <c r="D656" s="6"/>
      <c r="E656" s="6"/>
      <c r="F656" s="6"/>
      <c r="G656" s="6"/>
      <c r="H656" s="6"/>
      <c r="I656" s="6"/>
      <c r="J656" s="6"/>
      <c r="K656" s="6"/>
      <c r="L656" s="6"/>
      <c r="M656" s="93"/>
    </row>
    <row r="657" spans="2:14" x14ac:dyDescent="0.55000000000000004">
      <c r="B657" s="13" t="s">
        <v>125</v>
      </c>
      <c r="C657" s="7">
        <v>0.1</v>
      </c>
      <c r="D657" s="6"/>
      <c r="E657" s="6"/>
      <c r="F657" s="6"/>
      <c r="G657" s="6"/>
      <c r="H657" s="6"/>
      <c r="I657" s="6"/>
      <c r="J657" s="6"/>
      <c r="K657" s="6"/>
      <c r="L657" s="6"/>
      <c r="M657" s="93"/>
    </row>
    <row r="658" spans="2:14" x14ac:dyDescent="0.55000000000000004">
      <c r="B658" s="13" t="s">
        <v>576</v>
      </c>
      <c r="C658" s="7">
        <v>0</v>
      </c>
      <c r="D658" s="6"/>
      <c r="E658" s="6"/>
      <c r="F658" s="6"/>
      <c r="G658" s="6"/>
      <c r="H658" s="6"/>
      <c r="I658" s="6"/>
      <c r="J658" s="6"/>
      <c r="K658" s="6"/>
      <c r="L658" s="6"/>
      <c r="M658" s="93"/>
    </row>
    <row r="659" spans="2:14" x14ac:dyDescent="0.55000000000000004">
      <c r="B659" s="13" t="s">
        <v>385</v>
      </c>
      <c r="C659" s="7">
        <v>2E-3</v>
      </c>
      <c r="D659" s="6"/>
      <c r="E659" s="6"/>
      <c r="F659" s="6"/>
      <c r="G659" s="6"/>
      <c r="H659" s="6"/>
      <c r="I659" s="6"/>
      <c r="J659" s="6"/>
      <c r="K659" s="6"/>
      <c r="L659" s="6"/>
      <c r="M659" s="93"/>
    </row>
    <row r="660" spans="2:14" x14ac:dyDescent="0.55000000000000004">
      <c r="B660" s="13" t="s">
        <v>386</v>
      </c>
      <c r="C660" s="7">
        <v>2E-3</v>
      </c>
      <c r="D660" s="6"/>
      <c r="E660" s="6"/>
      <c r="F660" s="6"/>
      <c r="G660" s="6"/>
      <c r="H660" s="6"/>
      <c r="I660" s="6"/>
      <c r="J660" s="6"/>
      <c r="K660" s="6"/>
      <c r="L660" s="6"/>
      <c r="M660" s="93"/>
    </row>
    <row r="661" spans="2:14" x14ac:dyDescent="0.55000000000000004">
      <c r="B661" s="13" t="s">
        <v>387</v>
      </c>
      <c r="C661" s="7">
        <v>0</v>
      </c>
      <c r="D661" s="6"/>
      <c r="E661" s="6"/>
      <c r="F661" s="6"/>
      <c r="G661" s="6"/>
      <c r="H661" s="6"/>
      <c r="I661" s="6"/>
      <c r="J661" s="6"/>
      <c r="K661" s="6"/>
      <c r="L661" s="6"/>
      <c r="M661" s="93"/>
    </row>
    <row r="662" spans="2:14" x14ac:dyDescent="0.55000000000000004">
      <c r="B662" s="13" t="s">
        <v>126</v>
      </c>
      <c r="C662" s="7">
        <v>150</v>
      </c>
      <c r="D662" s="6"/>
      <c r="E662" s="6"/>
      <c r="F662" s="6"/>
      <c r="G662" s="6"/>
      <c r="H662" s="6"/>
      <c r="I662" s="6"/>
      <c r="J662" s="6"/>
      <c r="K662" s="6"/>
      <c r="L662" s="6"/>
      <c r="M662" s="93"/>
    </row>
    <row r="663" spans="2:14" x14ac:dyDescent="0.55000000000000004">
      <c r="B663" s="13" t="s">
        <v>579</v>
      </c>
      <c r="C663" s="7">
        <v>15</v>
      </c>
      <c r="D663" s="6"/>
      <c r="E663" s="6"/>
      <c r="F663" s="6"/>
      <c r="G663" s="6"/>
      <c r="H663" s="6"/>
      <c r="I663" s="6"/>
      <c r="J663" s="6"/>
      <c r="K663" s="6"/>
      <c r="L663" s="6"/>
      <c r="M663" s="93"/>
    </row>
    <row r="664" spans="2:14" x14ac:dyDescent="0.55000000000000004">
      <c r="B664" s="13" t="s">
        <v>580</v>
      </c>
      <c r="C664" s="7">
        <v>2</v>
      </c>
      <c r="D664" s="6"/>
      <c r="E664" s="6"/>
      <c r="F664" s="6"/>
      <c r="G664" s="6"/>
      <c r="H664" s="6"/>
      <c r="I664" s="6"/>
      <c r="J664" s="6"/>
      <c r="K664" s="6"/>
      <c r="L664" s="6"/>
      <c r="M664" s="93"/>
    </row>
    <row r="665" spans="2:14" x14ac:dyDescent="0.55000000000000004">
      <c r="B665" s="13" t="s">
        <v>581</v>
      </c>
      <c r="C665" s="7">
        <v>1E-3</v>
      </c>
      <c r="D665" s="6"/>
      <c r="E665" s="6"/>
      <c r="F665" s="6"/>
      <c r="G665" s="6"/>
      <c r="H665" s="6"/>
      <c r="I665" s="6"/>
      <c r="J665" s="6"/>
      <c r="K665" s="6"/>
      <c r="L665" s="6"/>
      <c r="M665" s="93"/>
    </row>
    <row r="666" spans="2:14" x14ac:dyDescent="0.55000000000000004">
      <c r="B666" s="13" t="s">
        <v>582</v>
      </c>
      <c r="C666" s="7">
        <v>1</v>
      </c>
      <c r="D666" s="6"/>
      <c r="E666" s="6"/>
      <c r="F666" s="6"/>
      <c r="G666" s="6"/>
      <c r="H666" s="6"/>
      <c r="I666" s="6"/>
      <c r="J666" s="6"/>
      <c r="K666" s="6"/>
      <c r="L666" s="6"/>
      <c r="M666" s="93"/>
    </row>
    <row r="667" spans="2:14" x14ac:dyDescent="0.55000000000000004">
      <c r="B667" s="13" t="s">
        <v>587</v>
      </c>
      <c r="C667" s="7">
        <v>3</v>
      </c>
      <c r="D667" s="6"/>
      <c r="E667" s="6"/>
      <c r="F667" s="6"/>
      <c r="G667" s="6"/>
      <c r="H667" s="6"/>
      <c r="I667" s="6"/>
      <c r="J667" s="6"/>
      <c r="K667" s="6"/>
      <c r="L667" s="6"/>
      <c r="M667" s="93"/>
    </row>
    <row r="668" spans="2:14" x14ac:dyDescent="0.55000000000000004">
      <c r="B668" s="13" t="s">
        <v>588</v>
      </c>
      <c r="C668" s="7">
        <v>20</v>
      </c>
      <c r="D668" s="6"/>
      <c r="E668" s="6"/>
      <c r="F668" s="6"/>
      <c r="G668" s="6"/>
      <c r="H668" s="6"/>
      <c r="I668" s="6"/>
      <c r="J668" s="6"/>
      <c r="K668" s="6"/>
      <c r="L668" s="6"/>
      <c r="M668" s="93"/>
    </row>
    <row r="669" spans="2:14" x14ac:dyDescent="0.55000000000000004">
      <c r="B669" s="13" t="s">
        <v>589</v>
      </c>
      <c r="C669" s="7">
        <v>30</v>
      </c>
      <c r="D669" s="6"/>
      <c r="E669" s="6"/>
      <c r="F669" s="6"/>
      <c r="G669" s="6"/>
      <c r="H669" s="6"/>
      <c r="I669" s="6"/>
      <c r="J669" s="6"/>
      <c r="K669" s="6"/>
      <c r="L669" s="6"/>
      <c r="M669" s="93"/>
    </row>
    <row r="670" spans="2:14" x14ac:dyDescent="0.55000000000000004">
      <c r="B670" s="13" t="s">
        <v>583</v>
      </c>
      <c r="C670" s="7">
        <v>0.1</v>
      </c>
      <c r="D670" s="6"/>
      <c r="E670" s="6"/>
      <c r="F670" s="6"/>
      <c r="G670" s="6"/>
      <c r="H670" s="6"/>
      <c r="I670" s="6"/>
      <c r="J670" s="6"/>
      <c r="K670" s="6"/>
      <c r="L670" s="6"/>
      <c r="M670" s="93"/>
    </row>
    <row r="671" spans="2:14" x14ac:dyDescent="0.55000000000000004">
      <c r="B671" s="13" t="s">
        <v>584</v>
      </c>
      <c r="C671" s="7">
        <v>0.99</v>
      </c>
      <c r="D671" s="6"/>
      <c r="E671" s="6"/>
      <c r="F671" s="6"/>
      <c r="G671" s="6"/>
      <c r="H671" s="6"/>
      <c r="I671" s="6"/>
      <c r="J671" s="6"/>
      <c r="K671" s="6"/>
      <c r="L671" s="6"/>
      <c r="M671" s="93"/>
      <c r="N671" s="2"/>
    </row>
    <row r="672" spans="2:14" x14ac:dyDescent="0.55000000000000004">
      <c r="B672" s="13" t="s">
        <v>585</v>
      </c>
      <c r="C672" s="7">
        <v>0.99</v>
      </c>
      <c r="D672" s="6"/>
      <c r="E672" s="6"/>
      <c r="F672" s="6"/>
      <c r="G672" s="6"/>
      <c r="H672" s="6"/>
      <c r="I672" s="6"/>
      <c r="J672" s="6"/>
      <c r="K672" s="6"/>
      <c r="L672" s="6"/>
      <c r="M672" s="93"/>
    </row>
    <row r="673" spans="2:13" x14ac:dyDescent="0.55000000000000004">
      <c r="B673" s="13" t="s">
        <v>586</v>
      </c>
      <c r="C673" s="7">
        <v>0.1</v>
      </c>
      <c r="D673" s="6"/>
      <c r="E673" s="6"/>
      <c r="F673" s="6"/>
      <c r="G673" s="6"/>
      <c r="H673" s="6"/>
      <c r="I673" s="6"/>
      <c r="J673" s="6"/>
      <c r="K673" s="6"/>
      <c r="L673" s="6"/>
      <c r="M673" s="93"/>
    </row>
    <row r="674" spans="2:13" x14ac:dyDescent="0.55000000000000004">
      <c r="B674" s="13" t="s">
        <v>590</v>
      </c>
      <c r="C674" s="7">
        <v>5.0000000000000001E-3</v>
      </c>
      <c r="D674" s="6"/>
      <c r="E674" s="6"/>
      <c r="F674" s="6"/>
      <c r="G674" s="6"/>
      <c r="H674" s="6"/>
      <c r="I674" s="6"/>
      <c r="J674" s="6"/>
      <c r="K674" s="6"/>
      <c r="L674" s="6"/>
      <c r="M674" s="93"/>
    </row>
    <row r="675" spans="2:13" x14ac:dyDescent="0.55000000000000004">
      <c r="B675" s="13" t="s">
        <v>591</v>
      </c>
      <c r="C675" s="7">
        <v>0.08</v>
      </c>
      <c r="D675" s="6"/>
      <c r="E675" s="6"/>
      <c r="F675" s="6"/>
      <c r="G675" s="6"/>
      <c r="H675" s="6"/>
      <c r="I675" s="6"/>
      <c r="J675" s="6"/>
      <c r="K675" s="6"/>
      <c r="L675" s="6"/>
      <c r="M675" s="93"/>
    </row>
    <row r="676" spans="2:13" x14ac:dyDescent="0.55000000000000004">
      <c r="B676" s="13" t="s">
        <v>592</v>
      </c>
      <c r="C676" s="7">
        <v>0.45</v>
      </c>
      <c r="D676" s="6"/>
      <c r="E676" s="6"/>
      <c r="F676" s="6"/>
      <c r="G676" s="6"/>
      <c r="H676" s="6"/>
      <c r="I676" s="6"/>
      <c r="J676" s="6"/>
      <c r="K676" s="6"/>
      <c r="L676" s="6"/>
      <c r="M676" s="93"/>
    </row>
    <row r="677" spans="2:13" x14ac:dyDescent="0.55000000000000004">
      <c r="B677" s="13" t="s">
        <v>593</v>
      </c>
      <c r="C677" s="7">
        <v>0</v>
      </c>
      <c r="D677" s="6"/>
      <c r="E677" s="6"/>
      <c r="F677" s="6"/>
      <c r="G677" s="6"/>
      <c r="H677" s="6"/>
      <c r="I677" s="6"/>
      <c r="J677" s="6"/>
      <c r="K677" s="6"/>
      <c r="L677" s="6"/>
      <c r="M677" s="93"/>
    </row>
    <row r="678" spans="2:13" x14ac:dyDescent="0.55000000000000004">
      <c r="B678" s="13" t="s">
        <v>594</v>
      </c>
      <c r="C678" s="7">
        <v>6.5000000000000002E-2</v>
      </c>
      <c r="D678" s="6"/>
      <c r="E678" s="6"/>
      <c r="F678" s="6"/>
      <c r="G678" s="6"/>
      <c r="H678" s="6"/>
      <c r="I678" s="6"/>
      <c r="J678" s="6"/>
      <c r="K678" s="6"/>
      <c r="L678" s="6"/>
      <c r="M678" s="93"/>
    </row>
    <row r="679" spans="2:13" x14ac:dyDescent="0.55000000000000004">
      <c r="B679" s="13" t="s">
        <v>595</v>
      </c>
      <c r="C679" s="7">
        <v>0.8</v>
      </c>
      <c r="D679" s="6"/>
      <c r="E679" s="6"/>
      <c r="F679" s="6"/>
      <c r="G679" s="6"/>
      <c r="H679" s="6"/>
      <c r="I679" s="6"/>
      <c r="J679" s="6"/>
      <c r="K679" s="6"/>
      <c r="L679" s="6"/>
      <c r="M679" s="93"/>
    </row>
    <row r="680" spans="2:13" x14ac:dyDescent="0.55000000000000004">
      <c r="B680" s="13" t="s">
        <v>777</v>
      </c>
      <c r="C680" s="7">
        <v>1.1000000000000001</v>
      </c>
      <c r="D680" s="6"/>
      <c r="E680" s="6"/>
      <c r="F680" s="6"/>
      <c r="G680" s="6"/>
      <c r="H680" s="6"/>
      <c r="I680" s="6"/>
      <c r="J680" s="6"/>
      <c r="K680" s="6"/>
      <c r="L680" s="6"/>
      <c r="M680" s="93"/>
    </row>
    <row r="681" spans="2:13" x14ac:dyDescent="0.55000000000000004">
      <c r="B681" s="13" t="s">
        <v>1189</v>
      </c>
      <c r="C681" s="7">
        <v>1.4</v>
      </c>
      <c r="D681" s="6"/>
      <c r="E681" s="6"/>
      <c r="F681" s="6"/>
      <c r="G681" s="6"/>
      <c r="H681" s="6"/>
      <c r="I681" s="6"/>
      <c r="J681" s="6"/>
      <c r="K681" s="6"/>
      <c r="L681" s="6"/>
      <c r="M681" s="93"/>
    </row>
    <row r="682" spans="2:13" x14ac:dyDescent="0.55000000000000004">
      <c r="B682" s="21"/>
      <c r="C682" s="6" t="s">
        <v>394</v>
      </c>
      <c r="D682" s="6"/>
      <c r="E682" s="6"/>
      <c r="F682" s="6"/>
      <c r="G682" s="6"/>
      <c r="H682" s="6"/>
      <c r="I682" s="6"/>
      <c r="J682" s="6"/>
      <c r="K682" s="6"/>
      <c r="L682" s="6"/>
      <c r="M682" s="93"/>
    </row>
    <row r="683" spans="2:13" x14ac:dyDescent="0.55000000000000004">
      <c r="B683" s="74" t="s">
        <v>596</v>
      </c>
      <c r="C683" s="6" t="s">
        <v>92</v>
      </c>
      <c r="D683" s="6"/>
      <c r="E683" s="6"/>
      <c r="F683" s="6"/>
      <c r="G683" s="6"/>
      <c r="H683" s="6"/>
      <c r="I683" s="6"/>
      <c r="J683" s="6"/>
      <c r="K683" s="6"/>
      <c r="L683" s="6"/>
      <c r="M683" s="93"/>
    </row>
    <row r="684" spans="2:13" x14ac:dyDescent="0.55000000000000004">
      <c r="B684" s="13" t="s">
        <v>119</v>
      </c>
      <c r="C684" s="7">
        <v>1.5</v>
      </c>
      <c r="D684" s="6"/>
      <c r="E684" s="6"/>
      <c r="F684" s="6"/>
      <c r="G684" s="6"/>
      <c r="H684" s="6"/>
      <c r="I684" s="6"/>
      <c r="J684" s="6"/>
      <c r="K684" s="6"/>
      <c r="L684" s="6"/>
      <c r="M684" s="93"/>
    </row>
    <row r="685" spans="2:13" x14ac:dyDescent="0.55000000000000004">
      <c r="B685" s="13" t="s">
        <v>120</v>
      </c>
      <c r="C685" s="7">
        <v>0.1</v>
      </c>
      <c r="D685" s="6"/>
      <c r="E685" s="6"/>
      <c r="F685" s="6"/>
      <c r="G685" s="6"/>
      <c r="H685" s="6"/>
      <c r="I685" s="6"/>
      <c r="J685" s="6"/>
      <c r="K685" s="6"/>
      <c r="L685" s="6"/>
      <c r="M685" s="93"/>
    </row>
    <row r="686" spans="2:13" x14ac:dyDescent="0.55000000000000004">
      <c r="B686" s="13" t="s">
        <v>121</v>
      </c>
      <c r="C686" s="7">
        <v>0.01</v>
      </c>
      <c r="D686" s="6"/>
      <c r="E686" s="6"/>
      <c r="F686" s="6"/>
      <c r="G686" s="6"/>
      <c r="H686" s="6"/>
      <c r="I686" s="6"/>
      <c r="J686" s="6"/>
      <c r="K686" s="6"/>
      <c r="L686" s="6"/>
      <c r="M686" s="93"/>
    </row>
    <row r="687" spans="2:13" x14ac:dyDescent="0.55000000000000004">
      <c r="B687" s="13" t="s">
        <v>597</v>
      </c>
      <c r="C687" s="7">
        <v>0.5</v>
      </c>
      <c r="D687" s="6"/>
      <c r="E687" s="6"/>
      <c r="F687" s="6"/>
      <c r="G687" s="6"/>
      <c r="H687" s="6"/>
      <c r="I687" s="6"/>
      <c r="J687" s="6"/>
      <c r="K687" s="6"/>
      <c r="L687" s="6"/>
      <c r="M687" s="93"/>
    </row>
    <row r="688" spans="2:13" x14ac:dyDescent="0.55000000000000004">
      <c r="B688" s="13" t="s">
        <v>598</v>
      </c>
      <c r="C688" s="7">
        <v>0.5</v>
      </c>
      <c r="D688" s="6"/>
      <c r="E688" s="6"/>
      <c r="F688" s="6"/>
      <c r="G688" s="6"/>
      <c r="H688" s="6"/>
      <c r="I688" s="6"/>
      <c r="J688" s="6"/>
      <c r="K688" s="6"/>
      <c r="L688" s="6"/>
      <c r="M688" s="93"/>
    </row>
    <row r="689" spans="1:13" x14ac:dyDescent="0.55000000000000004">
      <c r="B689" s="13" t="s">
        <v>599</v>
      </c>
      <c r="C689" s="7">
        <v>0.01</v>
      </c>
      <c r="D689" s="6"/>
      <c r="E689" s="6"/>
      <c r="F689" s="6"/>
      <c r="G689" s="6"/>
      <c r="H689" s="6"/>
      <c r="I689" s="6"/>
      <c r="J689" s="6"/>
      <c r="K689" s="6"/>
      <c r="L689" s="6"/>
      <c r="M689" s="93"/>
    </row>
    <row r="690" spans="1:13" x14ac:dyDescent="0.55000000000000004">
      <c r="B690" s="13" t="s">
        <v>600</v>
      </c>
      <c r="C690" s="7">
        <v>0.3</v>
      </c>
      <c r="D690" s="6"/>
      <c r="E690" s="6"/>
      <c r="F690" s="6"/>
      <c r="G690" s="6"/>
      <c r="H690" s="6"/>
      <c r="I690" s="6"/>
      <c r="J690" s="6"/>
      <c r="K690" s="6"/>
      <c r="L690" s="6"/>
      <c r="M690" s="93"/>
    </row>
    <row r="691" spans="1:13" x14ac:dyDescent="0.55000000000000004">
      <c r="A691" s="30" t="s">
        <v>1594</v>
      </c>
      <c r="B691" s="13" t="s">
        <v>1593</v>
      </c>
      <c r="C691" s="7">
        <v>0</v>
      </c>
      <c r="D691" s="6"/>
      <c r="E691" s="6"/>
      <c r="F691" s="6"/>
      <c r="G691" s="6"/>
      <c r="H691" s="6"/>
      <c r="I691" s="6"/>
      <c r="J691" s="6"/>
      <c r="K691" s="6"/>
      <c r="L691" s="6"/>
      <c r="M691" s="93"/>
    </row>
    <row r="692" spans="1:13" x14ac:dyDescent="0.55000000000000004">
      <c r="B692" s="13" t="s">
        <v>606</v>
      </c>
      <c r="C692" s="7">
        <v>0</v>
      </c>
      <c r="D692" s="6"/>
      <c r="E692" s="6"/>
      <c r="F692" s="6"/>
      <c r="G692" s="6"/>
      <c r="H692" s="6"/>
      <c r="I692" s="6"/>
      <c r="J692" s="6"/>
      <c r="K692" s="6"/>
      <c r="L692" s="6"/>
      <c r="M692" s="93"/>
    </row>
    <row r="693" spans="1:13" x14ac:dyDescent="0.55000000000000004">
      <c r="B693" s="13" t="s">
        <v>607</v>
      </c>
      <c r="C693" s="7">
        <v>15</v>
      </c>
      <c r="D693" s="6"/>
      <c r="E693" s="6"/>
      <c r="F693" s="6"/>
      <c r="G693" s="6"/>
      <c r="H693" s="6"/>
      <c r="I693" s="6"/>
      <c r="J693" s="6"/>
      <c r="K693" s="6"/>
      <c r="L693" s="6"/>
      <c r="M693" s="93"/>
    </row>
    <row r="694" spans="1:13" x14ac:dyDescent="0.55000000000000004">
      <c r="B694" s="13" t="s">
        <v>608</v>
      </c>
      <c r="C694" s="7">
        <v>20</v>
      </c>
      <c r="D694" s="6"/>
      <c r="E694" s="6"/>
      <c r="F694" s="6"/>
      <c r="G694" s="6"/>
      <c r="H694" s="6"/>
      <c r="I694" s="6"/>
      <c r="J694" s="6"/>
      <c r="K694" s="6"/>
      <c r="L694" s="6"/>
      <c r="M694" s="93"/>
    </row>
    <row r="695" spans="1:13" x14ac:dyDescent="0.55000000000000004">
      <c r="B695" s="13" t="s">
        <v>605</v>
      </c>
      <c r="C695" s="7">
        <v>36</v>
      </c>
      <c r="D695" s="6"/>
      <c r="E695" s="6"/>
      <c r="F695" s="6"/>
      <c r="G695" s="6"/>
      <c r="H695" s="6"/>
      <c r="I695" s="6"/>
      <c r="J695" s="6"/>
      <c r="K695" s="6"/>
      <c r="L695" s="6"/>
      <c r="M695" s="93"/>
    </row>
    <row r="696" spans="1:13" x14ac:dyDescent="0.55000000000000004">
      <c r="B696" s="13" t="s">
        <v>604</v>
      </c>
      <c r="C696" s="7">
        <v>0.1</v>
      </c>
      <c r="D696" s="6"/>
      <c r="E696" s="6"/>
      <c r="F696" s="6"/>
      <c r="G696" s="6"/>
      <c r="H696" s="6"/>
      <c r="I696" s="6"/>
      <c r="J696" s="6"/>
      <c r="K696" s="6"/>
      <c r="L696" s="6"/>
      <c r="M696" s="93"/>
    </row>
    <row r="697" spans="1:13" x14ac:dyDescent="0.55000000000000004">
      <c r="B697" s="13" t="s">
        <v>602</v>
      </c>
      <c r="C697" s="7">
        <v>0.9</v>
      </c>
      <c r="D697" s="6"/>
      <c r="E697" s="6"/>
      <c r="F697" s="6"/>
      <c r="G697" s="6"/>
      <c r="H697" s="6"/>
      <c r="I697" s="6"/>
      <c r="J697" s="6"/>
      <c r="K697" s="6"/>
      <c r="L697" s="6"/>
      <c r="M697" s="93"/>
    </row>
    <row r="698" spans="1:13" x14ac:dyDescent="0.55000000000000004">
      <c r="B698" s="13" t="s">
        <v>601</v>
      </c>
      <c r="C698" s="7">
        <v>0.98</v>
      </c>
      <c r="D698" s="6"/>
      <c r="E698" s="6"/>
      <c r="F698" s="6"/>
      <c r="G698" s="6"/>
      <c r="H698" s="6"/>
      <c r="I698" s="6"/>
      <c r="J698" s="6"/>
      <c r="K698" s="6"/>
      <c r="L698" s="6"/>
      <c r="M698" s="93"/>
    </row>
    <row r="699" spans="1:13" x14ac:dyDescent="0.55000000000000004">
      <c r="B699" s="13" t="s">
        <v>603</v>
      </c>
      <c r="C699" s="7">
        <v>0.1</v>
      </c>
      <c r="D699" s="6"/>
      <c r="E699" s="6"/>
      <c r="F699" s="6"/>
      <c r="G699" s="6"/>
      <c r="H699" s="6"/>
      <c r="I699" s="6"/>
      <c r="J699" s="6"/>
      <c r="K699" s="6"/>
      <c r="L699" s="6"/>
      <c r="M699" s="93"/>
    </row>
    <row r="700" spans="1:13" x14ac:dyDescent="0.55000000000000004">
      <c r="B700" s="13" t="s">
        <v>637</v>
      </c>
      <c r="C700" s="7">
        <v>1.4999999999999999E-2</v>
      </c>
      <c r="D700" s="6"/>
      <c r="E700" s="6"/>
      <c r="F700" s="6"/>
      <c r="G700" s="6"/>
      <c r="H700" s="6"/>
      <c r="I700" s="6"/>
      <c r="J700" s="6"/>
      <c r="K700" s="6"/>
      <c r="L700" s="6"/>
      <c r="M700" s="93"/>
    </row>
    <row r="701" spans="1:13" x14ac:dyDescent="0.55000000000000004">
      <c r="B701" s="13" t="s">
        <v>638</v>
      </c>
      <c r="C701" s="7">
        <v>0.08</v>
      </c>
      <c r="D701" s="6"/>
      <c r="E701" s="6"/>
      <c r="F701" s="6"/>
      <c r="G701" s="6"/>
      <c r="H701" s="6"/>
      <c r="I701" s="6"/>
      <c r="J701" s="6"/>
      <c r="K701" s="6"/>
      <c r="L701" s="6"/>
      <c r="M701" s="93"/>
    </row>
    <row r="702" spans="1:13" x14ac:dyDescent="0.55000000000000004">
      <c r="B702" s="13" t="s">
        <v>639</v>
      </c>
      <c r="C702" s="7">
        <v>0.45</v>
      </c>
      <c r="D702" s="6"/>
      <c r="E702" s="6"/>
      <c r="F702" s="6"/>
      <c r="G702" s="6"/>
      <c r="H702" s="6"/>
      <c r="I702" s="6"/>
      <c r="J702" s="6"/>
      <c r="K702" s="6"/>
      <c r="L702" s="6"/>
      <c r="M702" s="93"/>
    </row>
    <row r="703" spans="1:13" x14ac:dyDescent="0.55000000000000004">
      <c r="B703" s="13" t="s">
        <v>776</v>
      </c>
      <c r="C703" s="7">
        <v>1.1000000000000001</v>
      </c>
      <c r="D703" s="6"/>
      <c r="E703" s="6"/>
      <c r="F703" s="6"/>
      <c r="G703" s="6"/>
      <c r="H703" s="6"/>
      <c r="I703" s="6"/>
      <c r="J703" s="6"/>
      <c r="K703" s="6"/>
      <c r="L703" s="6"/>
      <c r="M703" s="93"/>
    </row>
    <row r="704" spans="1:13" x14ac:dyDescent="0.55000000000000004">
      <c r="B704" s="13" t="s">
        <v>650</v>
      </c>
      <c r="C704" s="7">
        <v>1</v>
      </c>
      <c r="D704" s="6"/>
      <c r="E704" s="6"/>
      <c r="F704" s="6"/>
      <c r="G704" s="6"/>
      <c r="H704" s="6"/>
      <c r="I704" s="6"/>
      <c r="J704" s="6"/>
      <c r="K704" s="6"/>
      <c r="L704" s="6"/>
      <c r="M704" s="93"/>
    </row>
    <row r="705" spans="1:16" x14ac:dyDescent="0.55000000000000004">
      <c r="A705" s="2" t="s">
        <v>1190</v>
      </c>
      <c r="B705" s="13" t="s">
        <v>651</v>
      </c>
      <c r="C705" s="7" t="s">
        <v>394</v>
      </c>
      <c r="D705" s="6"/>
      <c r="E705" s="6"/>
      <c r="F705" s="6"/>
      <c r="G705" s="6"/>
      <c r="H705" s="6"/>
      <c r="I705" s="6"/>
      <c r="J705" s="6"/>
      <c r="K705" s="6"/>
      <c r="L705" s="6"/>
      <c r="M705" s="93"/>
    </row>
    <row r="706" spans="1:16" x14ac:dyDescent="0.55000000000000004">
      <c r="A706" t="s">
        <v>173</v>
      </c>
      <c r="B706" s="13" t="s">
        <v>652</v>
      </c>
      <c r="C706" s="7" t="s">
        <v>394</v>
      </c>
      <c r="D706" s="6"/>
      <c r="E706" s="6"/>
      <c r="F706" s="6"/>
      <c r="G706" s="6"/>
      <c r="H706" s="6"/>
      <c r="I706" s="6"/>
      <c r="J706" s="6"/>
      <c r="K706" s="6"/>
      <c r="L706" s="6"/>
      <c r="M706" s="93"/>
    </row>
    <row r="707" spans="1:16" x14ac:dyDescent="0.55000000000000004">
      <c r="B707" s="13" t="s">
        <v>643</v>
      </c>
      <c r="C707" s="7" t="s">
        <v>394</v>
      </c>
      <c r="D707" s="6"/>
      <c r="E707" s="6"/>
      <c r="F707" s="6"/>
      <c r="G707" s="6"/>
      <c r="H707" s="6"/>
      <c r="I707" s="6"/>
      <c r="J707" s="6"/>
      <c r="K707" s="6"/>
      <c r="L707" s="6"/>
      <c r="M707" s="93"/>
    </row>
    <row r="708" spans="1:16" x14ac:dyDescent="0.55000000000000004">
      <c r="B708" s="13" t="s">
        <v>644</v>
      </c>
      <c r="C708" s="7" t="s">
        <v>394</v>
      </c>
      <c r="D708" s="6"/>
      <c r="E708" s="6"/>
      <c r="F708" s="6"/>
      <c r="G708" s="6"/>
      <c r="H708" s="6"/>
      <c r="I708" s="6"/>
      <c r="J708" s="6"/>
      <c r="K708" s="6"/>
      <c r="L708" s="6"/>
      <c r="M708" s="93"/>
      <c r="O708" s="2"/>
      <c r="P708" s="2"/>
    </row>
    <row r="709" spans="1:16" x14ac:dyDescent="0.55000000000000004">
      <c r="A709" s="39" t="s">
        <v>915</v>
      </c>
      <c r="B709" s="13" t="s">
        <v>645</v>
      </c>
      <c r="C709" s="7">
        <v>0</v>
      </c>
      <c r="D709" s="6"/>
      <c r="E709" s="6"/>
      <c r="F709" s="6"/>
      <c r="G709" s="6"/>
      <c r="H709" s="6"/>
      <c r="I709" s="6"/>
      <c r="J709" s="6"/>
      <c r="K709" s="6"/>
      <c r="L709" s="6"/>
      <c r="M709" s="93"/>
      <c r="O709" s="2"/>
      <c r="P709" s="2"/>
    </row>
    <row r="710" spans="1:16" x14ac:dyDescent="0.55000000000000004">
      <c r="B710" s="13" t="s">
        <v>646</v>
      </c>
      <c r="C710" s="7" t="s">
        <v>394</v>
      </c>
      <c r="D710" s="6"/>
      <c r="E710" s="6"/>
      <c r="F710" s="6"/>
      <c r="G710" s="6"/>
      <c r="H710" s="6"/>
      <c r="I710" s="6"/>
      <c r="J710" s="6"/>
      <c r="K710" s="6"/>
      <c r="L710" s="6"/>
      <c r="M710" s="93"/>
      <c r="O710" s="2"/>
      <c r="P710" s="2"/>
    </row>
    <row r="711" spans="1:16" x14ac:dyDescent="0.55000000000000004">
      <c r="B711" s="13" t="s">
        <v>647</v>
      </c>
      <c r="C711" s="7" t="s">
        <v>394</v>
      </c>
      <c r="D711" s="6"/>
      <c r="E711" s="6"/>
      <c r="F711" s="6"/>
      <c r="G711" s="6"/>
      <c r="H711" s="6"/>
      <c r="I711" s="6"/>
      <c r="J711" s="6"/>
      <c r="K711" s="6"/>
      <c r="L711" s="6"/>
      <c r="M711" s="93"/>
      <c r="O711" s="2"/>
      <c r="P711" s="2"/>
    </row>
    <row r="712" spans="1:16" x14ac:dyDescent="0.55000000000000004">
      <c r="B712" s="13" t="s">
        <v>648</v>
      </c>
      <c r="C712" s="7" t="s">
        <v>394</v>
      </c>
      <c r="D712" s="6"/>
      <c r="E712" s="6"/>
      <c r="F712" s="6"/>
      <c r="G712" s="6"/>
      <c r="H712" s="6"/>
      <c r="I712" s="6"/>
      <c r="J712" s="6"/>
      <c r="K712" s="6"/>
      <c r="L712" s="6"/>
      <c r="M712" s="93"/>
      <c r="O712" s="2"/>
      <c r="P712" s="2"/>
    </row>
    <row r="713" spans="1:16" x14ac:dyDescent="0.55000000000000004">
      <c r="B713" s="13" t="s">
        <v>649</v>
      </c>
      <c r="C713" s="7" t="s">
        <v>394</v>
      </c>
      <c r="D713" s="6"/>
      <c r="E713" s="6"/>
      <c r="F713" s="6"/>
      <c r="G713" s="6"/>
      <c r="H713" s="6"/>
      <c r="I713" s="6"/>
      <c r="J713" s="6"/>
      <c r="K713" s="6"/>
      <c r="L713" s="6"/>
      <c r="M713" s="93"/>
    </row>
    <row r="714" spans="1:16" x14ac:dyDescent="0.55000000000000004">
      <c r="A714" s="39" t="s">
        <v>914</v>
      </c>
      <c r="B714" s="21"/>
      <c r="C714" s="6" t="s">
        <v>394</v>
      </c>
      <c r="D714" s="6"/>
      <c r="E714" s="6"/>
      <c r="F714" s="6"/>
      <c r="G714" s="6"/>
      <c r="H714" s="6"/>
      <c r="I714" s="6"/>
      <c r="J714" s="6"/>
      <c r="K714" s="6"/>
      <c r="L714" s="6"/>
      <c r="M714" s="93"/>
    </row>
    <row r="715" spans="1:16" x14ac:dyDescent="0.55000000000000004">
      <c r="B715" s="74" t="s">
        <v>667</v>
      </c>
      <c r="C715" s="6" t="s">
        <v>96</v>
      </c>
      <c r="D715" s="6"/>
      <c r="E715" s="6"/>
      <c r="F715" s="6"/>
      <c r="G715" s="6"/>
      <c r="H715" s="6"/>
      <c r="I715" s="6"/>
      <c r="J715" s="6"/>
      <c r="K715" s="6"/>
      <c r="L715" s="6"/>
      <c r="M715" s="93"/>
    </row>
    <row r="716" spans="1:16" x14ac:dyDescent="0.55000000000000004">
      <c r="A716" t="s">
        <v>145</v>
      </c>
      <c r="B716" s="13" t="s">
        <v>653</v>
      </c>
      <c r="C716" s="7" t="s">
        <v>17</v>
      </c>
      <c r="D716" s="6"/>
      <c r="E716" s="6"/>
      <c r="F716" s="6"/>
      <c r="G716" s="6"/>
      <c r="H716" s="6"/>
      <c r="I716" s="6"/>
      <c r="J716" s="6"/>
      <c r="K716" s="6"/>
      <c r="L716" s="6"/>
      <c r="M716" s="93"/>
    </row>
    <row r="717" spans="1:16" x14ac:dyDescent="0.55000000000000004">
      <c r="A717" t="s">
        <v>173</v>
      </c>
      <c r="B717" s="13" t="s">
        <v>654</v>
      </c>
      <c r="C717" s="7" t="s">
        <v>394</v>
      </c>
      <c r="D717" s="6"/>
      <c r="E717" s="6"/>
      <c r="F717" s="6"/>
      <c r="G717" s="6"/>
      <c r="H717" s="6"/>
      <c r="I717" s="6"/>
      <c r="J717" s="6"/>
      <c r="K717" s="6"/>
      <c r="L717" s="6"/>
      <c r="M717" s="93"/>
    </row>
    <row r="718" spans="1:16" x14ac:dyDescent="0.55000000000000004">
      <c r="B718" s="13" t="s">
        <v>655</v>
      </c>
      <c r="C718" s="7" t="s">
        <v>394</v>
      </c>
      <c r="D718" s="6"/>
      <c r="E718" s="6"/>
      <c r="F718" s="6"/>
      <c r="G718" s="6"/>
      <c r="H718" s="6"/>
      <c r="I718" s="6"/>
      <c r="J718" s="6"/>
      <c r="K718" s="6"/>
      <c r="L718" s="6"/>
      <c r="M718" s="93"/>
    </row>
    <row r="719" spans="1:16" x14ac:dyDescent="0.55000000000000004">
      <c r="B719" s="13" t="s">
        <v>656</v>
      </c>
      <c r="C719" s="7" t="s">
        <v>394</v>
      </c>
      <c r="D719" s="6"/>
      <c r="E719" s="6"/>
      <c r="F719" s="6"/>
      <c r="G719" s="6"/>
      <c r="H719" s="6"/>
      <c r="I719" s="6"/>
      <c r="J719" s="6"/>
      <c r="K719" s="6"/>
      <c r="L719" s="6"/>
      <c r="M719" s="93"/>
    </row>
    <row r="720" spans="1:16" x14ac:dyDescent="0.55000000000000004">
      <c r="B720" s="13" t="s">
        <v>657</v>
      </c>
      <c r="C720" s="7" t="s">
        <v>394</v>
      </c>
      <c r="D720" s="6"/>
      <c r="E720" s="6"/>
      <c r="F720" s="6"/>
      <c r="G720" s="6"/>
      <c r="H720" s="6"/>
      <c r="I720" s="6"/>
      <c r="J720" s="6"/>
      <c r="K720" s="6"/>
      <c r="L720" s="6"/>
      <c r="M720" s="93"/>
    </row>
    <row r="721" spans="1:19" x14ac:dyDescent="0.55000000000000004">
      <c r="A721" s="39" t="s">
        <v>913</v>
      </c>
      <c r="B721" s="13" t="s">
        <v>658</v>
      </c>
      <c r="C721" s="7" t="s">
        <v>17</v>
      </c>
      <c r="D721" s="6"/>
      <c r="E721" s="6"/>
      <c r="F721" s="6"/>
      <c r="G721" s="6"/>
      <c r="H721" s="6"/>
      <c r="I721" s="6"/>
      <c r="J721" s="6"/>
      <c r="K721" s="6"/>
      <c r="L721" s="6"/>
      <c r="M721" s="93"/>
      <c r="O721" s="2"/>
      <c r="P721" s="2"/>
    </row>
    <row r="722" spans="1:19" x14ac:dyDescent="0.55000000000000004">
      <c r="B722" s="13" t="s">
        <v>659</v>
      </c>
      <c r="C722" s="7" t="s">
        <v>394</v>
      </c>
      <c r="D722" s="6"/>
      <c r="E722" s="6"/>
      <c r="F722" s="6"/>
      <c r="G722" s="6"/>
      <c r="H722" s="6"/>
      <c r="I722" s="6"/>
      <c r="J722" s="6"/>
      <c r="K722" s="6"/>
      <c r="L722" s="6"/>
      <c r="M722" s="93"/>
      <c r="O722" s="2"/>
      <c r="P722" s="2"/>
    </row>
    <row r="723" spans="1:19" x14ac:dyDescent="0.55000000000000004">
      <c r="B723" s="13" t="s">
        <v>660</v>
      </c>
      <c r="C723" s="7" t="s">
        <v>394</v>
      </c>
      <c r="D723" s="6"/>
      <c r="E723" s="6"/>
      <c r="F723" s="6"/>
      <c r="G723" s="6"/>
      <c r="H723" s="6"/>
      <c r="I723" s="6"/>
      <c r="J723" s="6"/>
      <c r="K723" s="6"/>
      <c r="L723" s="6"/>
      <c r="M723" s="93"/>
    </row>
    <row r="724" spans="1:19" x14ac:dyDescent="0.55000000000000004">
      <c r="B724" s="13" t="s">
        <v>661</v>
      </c>
      <c r="C724" s="7" t="s">
        <v>394</v>
      </c>
      <c r="D724" s="6"/>
      <c r="E724" s="6"/>
      <c r="F724" s="6"/>
      <c r="G724" s="6"/>
      <c r="H724" s="6"/>
      <c r="I724" s="6"/>
      <c r="J724" s="6"/>
      <c r="K724" s="6"/>
      <c r="L724" s="6"/>
      <c r="M724" s="93"/>
    </row>
    <row r="725" spans="1:19" x14ac:dyDescent="0.55000000000000004">
      <c r="B725" s="13" t="s">
        <v>662</v>
      </c>
      <c r="C725" s="7" t="s">
        <v>394</v>
      </c>
      <c r="D725" s="6"/>
      <c r="E725" s="6"/>
      <c r="F725" s="6"/>
      <c r="G725" s="6"/>
      <c r="H725" s="6"/>
      <c r="I725" s="6"/>
      <c r="J725" s="6"/>
      <c r="K725" s="6"/>
      <c r="L725" s="6"/>
      <c r="M725" s="93"/>
    </row>
    <row r="726" spans="1:19" x14ac:dyDescent="0.55000000000000004">
      <c r="A726" s="39" t="s">
        <v>913</v>
      </c>
      <c r="B726" s="13" t="s">
        <v>609</v>
      </c>
      <c r="C726" s="7">
        <v>0</v>
      </c>
      <c r="D726" s="6"/>
      <c r="E726" s="6"/>
      <c r="F726" s="6"/>
      <c r="G726" s="6"/>
      <c r="H726" s="6"/>
      <c r="I726" s="6"/>
      <c r="J726" s="6"/>
      <c r="K726" s="6"/>
      <c r="L726" s="6"/>
      <c r="M726" s="93"/>
    </row>
    <row r="727" spans="1:19" x14ac:dyDescent="0.55000000000000004">
      <c r="B727" s="13" t="s">
        <v>610</v>
      </c>
      <c r="C727" s="7" t="s">
        <v>394</v>
      </c>
      <c r="D727" s="6"/>
      <c r="E727" s="6"/>
      <c r="F727" s="6"/>
      <c r="G727" s="6"/>
      <c r="H727" s="6"/>
      <c r="I727" s="6"/>
      <c r="J727" s="6"/>
      <c r="K727" s="6"/>
      <c r="L727" s="6"/>
      <c r="M727" s="93"/>
      <c r="N727" s="2"/>
      <c r="O727" s="2"/>
      <c r="P727" s="2"/>
      <c r="Q727" s="2"/>
      <c r="R727" s="2"/>
      <c r="S727" s="2"/>
    </row>
    <row r="728" spans="1:19" x14ac:dyDescent="0.55000000000000004">
      <c r="B728" s="13" t="s">
        <v>611</v>
      </c>
      <c r="C728" s="7" t="s">
        <v>394</v>
      </c>
      <c r="D728" s="6"/>
      <c r="E728" s="6"/>
      <c r="F728" s="6"/>
      <c r="G728" s="6"/>
      <c r="H728" s="6"/>
      <c r="I728" s="6"/>
      <c r="J728" s="6"/>
      <c r="K728" s="6"/>
      <c r="L728" s="6"/>
      <c r="M728" s="93"/>
      <c r="N728" s="2"/>
      <c r="O728" s="2"/>
      <c r="P728" s="2"/>
      <c r="Q728" s="2"/>
      <c r="R728" s="2"/>
      <c r="S728" s="2"/>
    </row>
    <row r="729" spans="1:19" x14ac:dyDescent="0.55000000000000004">
      <c r="B729" s="13" t="s">
        <v>612</v>
      </c>
      <c r="C729" s="7" t="s">
        <v>394</v>
      </c>
      <c r="D729" s="6"/>
      <c r="E729" s="6"/>
      <c r="F729" s="6"/>
      <c r="G729" s="6"/>
      <c r="H729" s="6"/>
      <c r="I729" s="6"/>
      <c r="J729" s="6"/>
      <c r="K729" s="6"/>
      <c r="L729" s="6"/>
      <c r="M729" s="93"/>
      <c r="N729" s="2"/>
      <c r="O729" s="2"/>
      <c r="P729" s="2"/>
      <c r="Q729" s="2"/>
      <c r="R729" s="2"/>
      <c r="S729" s="2"/>
    </row>
    <row r="730" spans="1:19" x14ac:dyDescent="0.55000000000000004">
      <c r="B730" s="13" t="s">
        <v>613</v>
      </c>
      <c r="C730" s="7" t="s">
        <v>394</v>
      </c>
      <c r="D730" s="6"/>
      <c r="E730" s="6"/>
      <c r="F730" s="6"/>
      <c r="G730" s="6"/>
      <c r="H730" s="6"/>
      <c r="I730" s="6"/>
      <c r="J730" s="6"/>
      <c r="K730" s="6"/>
      <c r="L730" s="6"/>
      <c r="M730" s="93"/>
    </row>
    <row r="731" spans="1:19" x14ac:dyDescent="0.55000000000000004">
      <c r="A731" s="39" t="s">
        <v>913</v>
      </c>
      <c r="B731" s="21"/>
      <c r="C731" s="6" t="s">
        <v>394</v>
      </c>
      <c r="D731" s="6"/>
      <c r="E731" s="6"/>
      <c r="F731" s="6"/>
      <c r="G731" s="6"/>
      <c r="H731" s="6"/>
      <c r="I731" s="6"/>
      <c r="J731" s="6"/>
      <c r="K731" s="6"/>
      <c r="L731" s="6"/>
      <c r="M731" s="93"/>
    </row>
    <row r="732" spans="1:19" x14ac:dyDescent="0.55000000000000004">
      <c r="B732" s="74" t="s">
        <v>93</v>
      </c>
      <c r="C732" s="42" t="s">
        <v>141</v>
      </c>
      <c r="D732" s="6"/>
      <c r="E732" s="6"/>
      <c r="F732" s="6"/>
      <c r="G732" s="6"/>
      <c r="H732" s="6"/>
      <c r="I732" s="6"/>
      <c r="J732" s="6"/>
      <c r="K732" s="6"/>
      <c r="L732" s="6"/>
      <c r="M732" s="93"/>
    </row>
    <row r="733" spans="1:19" x14ac:dyDescent="0.55000000000000004">
      <c r="B733" s="13" t="s">
        <v>614</v>
      </c>
      <c r="C733" s="7">
        <v>0.3</v>
      </c>
      <c r="D733" s="6"/>
      <c r="E733" s="6"/>
      <c r="F733" s="6"/>
      <c r="G733" s="6"/>
      <c r="H733" s="6"/>
      <c r="I733" s="6"/>
      <c r="J733" s="6"/>
      <c r="K733" s="6"/>
      <c r="L733" s="6"/>
      <c r="M733" s="93"/>
    </row>
    <row r="734" spans="1:19" x14ac:dyDescent="0.55000000000000004">
      <c r="B734" s="13" t="s">
        <v>615</v>
      </c>
      <c r="C734" s="7">
        <v>0.05</v>
      </c>
      <c r="D734" s="6"/>
      <c r="E734" s="6"/>
      <c r="F734" s="6"/>
      <c r="G734" s="6"/>
      <c r="H734" s="6"/>
      <c r="I734" s="6"/>
      <c r="J734" s="6"/>
      <c r="K734" s="6"/>
      <c r="L734" s="6"/>
      <c r="M734" s="93"/>
    </row>
    <row r="735" spans="1:19" x14ac:dyDescent="0.55000000000000004">
      <c r="B735" s="13" t="s">
        <v>616</v>
      </c>
      <c r="C735" s="7">
        <v>0.05</v>
      </c>
      <c r="D735" s="6"/>
      <c r="E735" s="6"/>
      <c r="F735" s="6"/>
      <c r="G735" s="6"/>
      <c r="H735" s="6"/>
      <c r="I735" s="6"/>
      <c r="J735" s="6"/>
      <c r="K735" s="6"/>
      <c r="L735" s="6"/>
      <c r="M735" s="93"/>
    </row>
    <row r="736" spans="1:19" x14ac:dyDescent="0.55000000000000004">
      <c r="B736" s="13" t="s">
        <v>617</v>
      </c>
      <c r="C736" s="7">
        <v>30</v>
      </c>
      <c r="D736" s="6"/>
      <c r="E736" s="6"/>
      <c r="F736" s="6"/>
      <c r="G736" s="6"/>
      <c r="H736" s="6"/>
      <c r="I736" s="6"/>
      <c r="J736" s="6"/>
      <c r="K736" s="6"/>
      <c r="L736" s="6"/>
      <c r="M736" s="93"/>
    </row>
    <row r="737" spans="2:13" x14ac:dyDescent="0.55000000000000004">
      <c r="B737" s="13" t="s">
        <v>618</v>
      </c>
      <c r="C737" s="7">
        <v>0</v>
      </c>
      <c r="D737" s="6"/>
      <c r="E737" s="6"/>
      <c r="F737" s="6"/>
      <c r="G737" s="6"/>
      <c r="H737" s="6"/>
      <c r="I737" s="6"/>
      <c r="J737" s="6"/>
      <c r="K737" s="6"/>
      <c r="L737" s="6"/>
      <c r="M737" s="93"/>
    </row>
    <row r="738" spans="2:13" x14ac:dyDescent="0.55000000000000004">
      <c r="B738" s="13" t="s">
        <v>619</v>
      </c>
      <c r="C738" s="7">
        <v>0</v>
      </c>
      <c r="D738" s="6"/>
      <c r="E738" s="6"/>
      <c r="F738" s="6"/>
      <c r="G738" s="6"/>
      <c r="H738" s="6"/>
      <c r="I738" s="6"/>
      <c r="J738" s="6"/>
      <c r="K738" s="6"/>
      <c r="L738" s="6"/>
      <c r="M738" s="93"/>
    </row>
    <row r="739" spans="2:13" x14ac:dyDescent="0.55000000000000004">
      <c r="B739" s="13" t="s">
        <v>620</v>
      </c>
      <c r="C739" s="7">
        <v>0</v>
      </c>
      <c r="D739" s="6"/>
      <c r="E739" s="6"/>
      <c r="F739" s="6"/>
      <c r="G739" s="6"/>
      <c r="H739" s="6"/>
      <c r="I739" s="6"/>
      <c r="J739" s="6"/>
      <c r="K739" s="6"/>
      <c r="L739" s="6"/>
      <c r="M739" s="93"/>
    </row>
    <row r="740" spans="2:13" x14ac:dyDescent="0.55000000000000004">
      <c r="B740" s="13" t="s">
        <v>621</v>
      </c>
      <c r="C740" s="7">
        <v>0.9</v>
      </c>
      <c r="D740" s="6"/>
      <c r="E740" s="6"/>
      <c r="F740" s="6"/>
      <c r="G740" s="6"/>
      <c r="H740" s="6"/>
      <c r="I740" s="6"/>
      <c r="J740" s="6"/>
      <c r="K740" s="6"/>
      <c r="L740" s="6"/>
      <c r="M740" s="93"/>
    </row>
    <row r="741" spans="2:13" x14ac:dyDescent="0.55000000000000004">
      <c r="B741" s="13" t="s">
        <v>622</v>
      </c>
      <c r="C741" s="7">
        <v>0.2</v>
      </c>
      <c r="D741" s="6"/>
      <c r="E741" s="6"/>
      <c r="F741" s="6"/>
      <c r="G741" s="6"/>
      <c r="H741" s="6"/>
      <c r="I741" s="6"/>
      <c r="J741" s="6"/>
      <c r="K741" s="6"/>
      <c r="L741" s="6"/>
      <c r="M741" s="93"/>
    </row>
    <row r="742" spans="2:13" x14ac:dyDescent="0.55000000000000004">
      <c r="B742" s="13" t="s">
        <v>1191</v>
      </c>
      <c r="C742" s="7">
        <v>0.5</v>
      </c>
      <c r="D742" s="6"/>
      <c r="E742" s="6"/>
      <c r="F742" s="6"/>
      <c r="G742" s="6"/>
      <c r="H742" s="6"/>
      <c r="I742" s="6"/>
      <c r="J742" s="6"/>
      <c r="K742" s="6"/>
      <c r="L742" s="6"/>
      <c r="M742" s="93"/>
    </row>
    <row r="743" spans="2:13" x14ac:dyDescent="0.55000000000000004">
      <c r="B743" s="13" t="s">
        <v>623</v>
      </c>
      <c r="C743" s="7">
        <v>0.5</v>
      </c>
      <c r="D743" s="6"/>
      <c r="E743" s="6"/>
      <c r="F743" s="6"/>
      <c r="G743" s="6"/>
      <c r="H743" s="6"/>
      <c r="I743" s="6"/>
      <c r="J743" s="6"/>
      <c r="K743" s="6"/>
      <c r="L743" s="6"/>
      <c r="M743" s="93"/>
    </row>
    <row r="744" spans="2:13" x14ac:dyDescent="0.55000000000000004">
      <c r="B744" s="13" t="s">
        <v>624</v>
      </c>
      <c r="C744" s="7">
        <v>40</v>
      </c>
      <c r="D744" s="6"/>
      <c r="E744" s="6"/>
      <c r="F744" s="6"/>
      <c r="G744" s="6"/>
      <c r="H744" s="6"/>
      <c r="I744" s="6"/>
      <c r="J744" s="6"/>
      <c r="K744" s="6"/>
      <c r="L744" s="6"/>
      <c r="M744" s="93"/>
    </row>
    <row r="745" spans="2:13" x14ac:dyDescent="0.55000000000000004">
      <c r="B745" s="13" t="s">
        <v>625</v>
      </c>
      <c r="C745" s="7">
        <v>500</v>
      </c>
      <c r="D745" s="6"/>
      <c r="E745" s="6"/>
      <c r="F745" s="6"/>
      <c r="G745" s="6"/>
      <c r="H745" s="6"/>
      <c r="I745" s="6"/>
      <c r="J745" s="6"/>
      <c r="K745" s="6"/>
      <c r="L745" s="6"/>
      <c r="M745" s="93"/>
    </row>
    <row r="746" spans="2:13" x14ac:dyDescent="0.55000000000000004">
      <c r="B746" s="13" t="s">
        <v>626</v>
      </c>
      <c r="C746" s="7">
        <v>3</v>
      </c>
      <c r="D746" s="6"/>
      <c r="E746" s="6"/>
      <c r="F746" s="6"/>
      <c r="G746" s="6"/>
      <c r="H746" s="6"/>
      <c r="I746" s="6"/>
      <c r="J746" s="6"/>
      <c r="K746" s="6"/>
      <c r="L746" s="6"/>
      <c r="M746" s="93"/>
    </row>
    <row r="747" spans="2:13" x14ac:dyDescent="0.55000000000000004">
      <c r="B747" s="13" t="s">
        <v>627</v>
      </c>
      <c r="C747" s="7">
        <v>70000</v>
      </c>
      <c r="D747" s="6"/>
      <c r="E747" s="6"/>
      <c r="F747" s="6"/>
      <c r="G747" s="6"/>
      <c r="H747" s="6"/>
      <c r="I747" s="6"/>
      <c r="J747" s="6"/>
      <c r="K747" s="6"/>
      <c r="L747" s="6"/>
      <c r="M747" s="93"/>
    </row>
    <row r="748" spans="2:13" x14ac:dyDescent="0.55000000000000004">
      <c r="B748" s="13" t="s">
        <v>628</v>
      </c>
      <c r="C748" s="7">
        <v>8</v>
      </c>
      <c r="D748" s="6"/>
      <c r="E748" s="6"/>
      <c r="F748" s="6"/>
      <c r="G748" s="6"/>
      <c r="H748" s="6"/>
      <c r="I748" s="6"/>
      <c r="J748" s="6"/>
      <c r="K748" s="6"/>
      <c r="L748" s="6"/>
      <c r="M748" s="93"/>
    </row>
    <row r="749" spans="2:13" x14ac:dyDescent="0.55000000000000004">
      <c r="B749" s="13" t="s">
        <v>1192</v>
      </c>
      <c r="C749" s="7">
        <v>0.3</v>
      </c>
      <c r="D749" s="6"/>
      <c r="E749" s="6"/>
      <c r="F749" s="6"/>
      <c r="G749" s="6"/>
      <c r="H749" s="6"/>
      <c r="I749" s="6"/>
      <c r="J749" s="6"/>
      <c r="K749" s="6"/>
      <c r="L749" s="6"/>
      <c r="M749" s="93"/>
    </row>
    <row r="750" spans="2:13" x14ac:dyDescent="0.55000000000000004">
      <c r="B750" s="13" t="s">
        <v>634</v>
      </c>
      <c r="C750" s="7">
        <v>7</v>
      </c>
      <c r="D750" s="6"/>
      <c r="E750" s="6"/>
      <c r="F750" s="6"/>
      <c r="G750" s="6"/>
      <c r="H750" s="6"/>
      <c r="I750" s="6"/>
      <c r="J750" s="6"/>
      <c r="K750" s="6"/>
      <c r="L750" s="6"/>
      <c r="M750" s="93"/>
    </row>
    <row r="751" spans="2:13" x14ac:dyDescent="0.55000000000000004">
      <c r="B751" s="13" t="s">
        <v>635</v>
      </c>
      <c r="C751" s="7">
        <v>15</v>
      </c>
      <c r="D751" s="6"/>
      <c r="E751" s="6"/>
      <c r="F751" s="6"/>
      <c r="G751" s="6"/>
      <c r="H751" s="6"/>
      <c r="I751" s="6"/>
      <c r="J751" s="6"/>
      <c r="K751" s="6"/>
      <c r="L751" s="6"/>
      <c r="M751" s="93"/>
    </row>
    <row r="752" spans="2:13" x14ac:dyDescent="0.55000000000000004">
      <c r="B752" s="13" t="s">
        <v>636</v>
      </c>
      <c r="C752" s="7">
        <v>24</v>
      </c>
      <c r="D752" s="6"/>
      <c r="E752" s="6"/>
      <c r="F752" s="6"/>
      <c r="G752" s="6"/>
      <c r="H752" s="6"/>
      <c r="I752" s="6"/>
      <c r="J752" s="6"/>
      <c r="K752" s="6"/>
      <c r="L752" s="6"/>
      <c r="M752" s="93"/>
    </row>
    <row r="753" spans="2:19" x14ac:dyDescent="0.55000000000000004">
      <c r="B753" s="13" t="s">
        <v>633</v>
      </c>
      <c r="C753" s="7">
        <v>34</v>
      </c>
      <c r="D753" s="6"/>
      <c r="E753" s="6"/>
      <c r="F753" s="6"/>
      <c r="G753" s="6"/>
      <c r="H753" s="6"/>
      <c r="I753" s="6"/>
      <c r="J753" s="6"/>
      <c r="K753" s="6"/>
      <c r="L753" s="6"/>
      <c r="M753" s="93"/>
    </row>
    <row r="754" spans="2:19" x14ac:dyDescent="0.55000000000000004">
      <c r="B754" s="13" t="s">
        <v>630</v>
      </c>
      <c r="C754" s="7">
        <v>0.1</v>
      </c>
      <c r="D754" s="6"/>
      <c r="E754" s="6"/>
      <c r="F754" s="6"/>
      <c r="G754" s="6"/>
      <c r="H754" s="6"/>
      <c r="I754" s="6"/>
      <c r="J754" s="6"/>
      <c r="K754" s="6"/>
      <c r="L754" s="6"/>
      <c r="M754" s="93"/>
    </row>
    <row r="755" spans="2:19" x14ac:dyDescent="0.55000000000000004">
      <c r="B755" s="13" t="s">
        <v>631</v>
      </c>
      <c r="C755" s="7">
        <v>0.99</v>
      </c>
      <c r="D755" s="6"/>
      <c r="E755" s="6"/>
      <c r="F755" s="6"/>
      <c r="G755" s="6"/>
      <c r="H755" s="6"/>
      <c r="I755" s="6"/>
      <c r="J755" s="6"/>
      <c r="K755" s="6"/>
      <c r="L755" s="6"/>
      <c r="M755" s="93"/>
    </row>
    <row r="756" spans="2:19" x14ac:dyDescent="0.55000000000000004">
      <c r="B756" s="13" t="s">
        <v>632</v>
      </c>
      <c r="C756" s="7">
        <v>0.99</v>
      </c>
      <c r="D756" s="6"/>
      <c r="E756" s="6"/>
      <c r="F756" s="6"/>
      <c r="G756" s="6"/>
      <c r="H756" s="6"/>
      <c r="I756" s="6"/>
      <c r="J756" s="6"/>
      <c r="K756" s="6"/>
      <c r="L756" s="6"/>
      <c r="M756" s="93"/>
    </row>
    <row r="757" spans="2:19" x14ac:dyDescent="0.55000000000000004">
      <c r="B757" s="13" t="s">
        <v>629</v>
      </c>
      <c r="C757" s="7">
        <v>0.01</v>
      </c>
      <c r="D757" s="6"/>
      <c r="E757" s="6"/>
      <c r="F757" s="6"/>
      <c r="G757" s="6"/>
      <c r="H757" s="6"/>
      <c r="I757" s="6"/>
      <c r="J757" s="6"/>
      <c r="K757" s="6"/>
      <c r="L757" s="6"/>
      <c r="M757" s="93"/>
    </row>
    <row r="758" spans="2:19" x14ac:dyDescent="0.55000000000000004">
      <c r="B758" s="13" t="s">
        <v>640</v>
      </c>
      <c r="C758" s="7">
        <v>5.0000000000000001E-3</v>
      </c>
      <c r="D758" s="6"/>
      <c r="E758" s="6"/>
      <c r="F758" s="6"/>
      <c r="G758" s="6"/>
      <c r="H758" s="6"/>
      <c r="I758" s="6"/>
      <c r="J758" s="6"/>
      <c r="K758" s="6"/>
      <c r="L758" s="6"/>
      <c r="M758" s="93"/>
    </row>
    <row r="759" spans="2:19" x14ac:dyDescent="0.55000000000000004">
      <c r="B759" s="13" t="s">
        <v>642</v>
      </c>
      <c r="C759" s="7">
        <v>0.08</v>
      </c>
      <c r="D759" s="6"/>
      <c r="E759" s="6"/>
      <c r="F759" s="6"/>
      <c r="G759" s="6"/>
      <c r="H759" s="6"/>
      <c r="I759" s="6"/>
      <c r="J759" s="6"/>
      <c r="K759" s="6"/>
      <c r="L759" s="6"/>
      <c r="M759" s="93"/>
    </row>
    <row r="760" spans="2:19" x14ac:dyDescent="0.55000000000000004">
      <c r="B760" s="13" t="s">
        <v>641</v>
      </c>
      <c r="C760" s="7">
        <v>0.45</v>
      </c>
      <c r="D760" s="6"/>
      <c r="E760" s="6"/>
      <c r="F760" s="6"/>
      <c r="G760" s="6"/>
      <c r="H760" s="6"/>
      <c r="I760" s="6"/>
      <c r="J760" s="6"/>
      <c r="K760" s="6"/>
      <c r="L760" s="6"/>
      <c r="M760" s="93"/>
    </row>
    <row r="761" spans="2:19" x14ac:dyDescent="0.55000000000000004">
      <c r="B761" s="13" t="s">
        <v>774</v>
      </c>
      <c r="C761" s="7">
        <v>1.1000000000000001</v>
      </c>
      <c r="D761" s="6"/>
      <c r="E761" s="6"/>
      <c r="F761" s="6"/>
      <c r="G761" s="6"/>
      <c r="H761" s="6"/>
      <c r="I761" s="6"/>
      <c r="J761" s="6"/>
      <c r="K761" s="6"/>
      <c r="L761" s="6"/>
      <c r="M761" s="93"/>
      <c r="O761" s="2"/>
      <c r="P761" s="2"/>
      <c r="Q761" s="2"/>
      <c r="R761" s="2"/>
      <c r="S761" s="2"/>
    </row>
    <row r="762" spans="2:19" x14ac:dyDescent="0.55000000000000004">
      <c r="B762" s="13" t="s">
        <v>775</v>
      </c>
      <c r="C762" s="7">
        <v>1.4</v>
      </c>
      <c r="D762" s="6"/>
      <c r="E762" s="6"/>
      <c r="F762" s="6"/>
      <c r="G762" s="6"/>
      <c r="H762" s="6"/>
      <c r="I762" s="6"/>
      <c r="J762" s="6"/>
      <c r="K762" s="6"/>
      <c r="L762" s="6"/>
      <c r="M762" s="93"/>
    </row>
    <row r="763" spans="2:19" x14ac:dyDescent="0.55000000000000004">
      <c r="B763" s="21"/>
      <c r="C763" s="6" t="s">
        <v>394</v>
      </c>
      <c r="D763" s="6"/>
      <c r="E763" s="6"/>
      <c r="F763" s="6"/>
      <c r="G763" s="6"/>
      <c r="H763" s="6"/>
      <c r="I763" s="6"/>
      <c r="J763" s="6"/>
      <c r="K763" s="6"/>
      <c r="L763" s="6"/>
      <c r="M763" s="93"/>
      <c r="N763" s="2"/>
      <c r="O763" s="2"/>
      <c r="P763" s="2"/>
      <c r="Q763" s="2"/>
      <c r="R763" s="2"/>
      <c r="S763" s="2"/>
    </row>
    <row r="764" spans="2:19" x14ac:dyDescent="0.55000000000000004">
      <c r="B764" s="74" t="s">
        <v>770</v>
      </c>
      <c r="C764" s="6" t="s">
        <v>96</v>
      </c>
      <c r="D764" s="6"/>
      <c r="E764" s="6"/>
      <c r="F764" s="6"/>
      <c r="G764" s="6"/>
      <c r="H764" s="6"/>
      <c r="I764" s="6"/>
      <c r="J764" s="6"/>
      <c r="K764" s="6"/>
      <c r="L764" s="6"/>
      <c r="M764" s="93"/>
    </row>
    <row r="765" spans="2:19" x14ac:dyDescent="0.55000000000000004">
      <c r="B765" s="13" t="s">
        <v>772</v>
      </c>
      <c r="C765" s="7">
        <v>0.3</v>
      </c>
      <c r="D765" s="6"/>
      <c r="E765" s="6"/>
      <c r="F765" s="6"/>
      <c r="G765" s="6"/>
      <c r="H765" s="6"/>
      <c r="I765" s="6"/>
      <c r="J765" s="6"/>
      <c r="K765" s="6"/>
      <c r="L765" s="6"/>
      <c r="M765" s="93"/>
    </row>
    <row r="766" spans="2:19" x14ac:dyDescent="0.55000000000000004">
      <c r="B766" s="13" t="s">
        <v>771</v>
      </c>
      <c r="C766" s="43">
        <v>1E-3</v>
      </c>
      <c r="D766" s="6"/>
      <c r="E766" s="6"/>
      <c r="F766" s="6"/>
      <c r="G766" s="6"/>
      <c r="H766" s="6"/>
      <c r="I766" s="6"/>
      <c r="J766" s="6"/>
      <c r="K766" s="6"/>
      <c r="L766" s="6"/>
      <c r="M766" s="93"/>
    </row>
    <row r="767" spans="2:19" x14ac:dyDescent="0.55000000000000004">
      <c r="B767" s="13" t="s">
        <v>769</v>
      </c>
      <c r="C767" s="7">
        <v>0.01</v>
      </c>
      <c r="D767" s="6"/>
      <c r="E767" s="6"/>
      <c r="F767" s="6"/>
      <c r="G767" s="6"/>
      <c r="H767" s="6"/>
      <c r="I767" s="6"/>
      <c r="J767" s="6"/>
      <c r="K767" s="6"/>
      <c r="L767" s="6"/>
      <c r="M767" s="93"/>
    </row>
    <row r="768" spans="2:19" x14ac:dyDescent="0.55000000000000004">
      <c r="B768" s="21"/>
      <c r="C768" s="6" t="s">
        <v>394</v>
      </c>
      <c r="D768" s="6"/>
      <c r="E768" s="6"/>
      <c r="F768" s="6"/>
      <c r="G768" s="6"/>
      <c r="H768" s="6"/>
      <c r="I768" s="6"/>
      <c r="J768" s="6"/>
      <c r="K768" s="6"/>
      <c r="L768" s="6"/>
      <c r="M768" s="93"/>
    </row>
    <row r="769" spans="1:13" x14ac:dyDescent="0.55000000000000004">
      <c r="B769" s="74" t="s">
        <v>764</v>
      </c>
      <c r="C769" s="6" t="s">
        <v>96</v>
      </c>
      <c r="D769" s="6"/>
      <c r="E769" s="6"/>
      <c r="F769" s="6"/>
      <c r="G769" s="6"/>
      <c r="H769" s="6"/>
      <c r="I769" s="6"/>
      <c r="J769" s="6"/>
      <c r="K769" s="6"/>
      <c r="L769" s="6"/>
      <c r="M769" s="93"/>
    </row>
    <row r="770" spans="1:13" x14ac:dyDescent="0.55000000000000004">
      <c r="B770" s="13" t="s">
        <v>768</v>
      </c>
      <c r="C770" s="7">
        <v>0.08</v>
      </c>
      <c r="D770" s="6"/>
      <c r="E770" s="6"/>
      <c r="F770" s="6"/>
      <c r="G770" s="6"/>
      <c r="H770" s="6"/>
      <c r="I770" s="6"/>
      <c r="J770" s="6"/>
      <c r="K770" s="6"/>
      <c r="L770" s="6"/>
      <c r="M770" s="93"/>
    </row>
    <row r="771" spans="1:13" x14ac:dyDescent="0.55000000000000004">
      <c r="B771" s="13" t="s">
        <v>767</v>
      </c>
      <c r="C771" s="7">
        <v>0.01</v>
      </c>
      <c r="D771" s="6"/>
      <c r="E771" s="6"/>
      <c r="F771" s="6"/>
      <c r="G771" s="6"/>
      <c r="H771" s="6"/>
      <c r="I771" s="6"/>
      <c r="J771" s="6"/>
      <c r="K771" s="6"/>
      <c r="L771" s="6"/>
      <c r="M771" s="93"/>
    </row>
    <row r="772" spans="1:13" x14ac:dyDescent="0.55000000000000004">
      <c r="B772" s="13" t="s">
        <v>766</v>
      </c>
      <c r="C772" s="7">
        <v>1E-3</v>
      </c>
      <c r="D772" s="6"/>
      <c r="E772" s="6"/>
      <c r="F772" s="6"/>
      <c r="G772" s="6"/>
      <c r="H772" s="6"/>
      <c r="I772" s="6"/>
      <c r="J772" s="6"/>
      <c r="K772" s="6"/>
      <c r="L772" s="6"/>
      <c r="M772" s="93"/>
    </row>
    <row r="773" spans="1:13" x14ac:dyDescent="0.55000000000000004">
      <c r="B773" s="13" t="s">
        <v>763</v>
      </c>
      <c r="C773" s="7">
        <v>0.5</v>
      </c>
      <c r="D773" s="6"/>
      <c r="E773" s="6"/>
      <c r="F773" s="6"/>
      <c r="G773" s="6"/>
      <c r="H773" s="6"/>
      <c r="I773" s="6"/>
      <c r="J773" s="6"/>
      <c r="K773" s="6"/>
      <c r="L773" s="6"/>
      <c r="M773" s="93"/>
    </row>
    <row r="774" spans="1:13" x14ac:dyDescent="0.55000000000000004">
      <c r="B774" s="21"/>
      <c r="C774" s="6" t="s">
        <v>394</v>
      </c>
      <c r="D774" s="6"/>
      <c r="E774" s="6"/>
      <c r="F774" s="6"/>
      <c r="G774" s="6"/>
      <c r="H774" s="6"/>
      <c r="I774" s="6"/>
      <c r="J774" s="6"/>
      <c r="K774" s="6"/>
      <c r="L774" s="6"/>
      <c r="M774" s="93"/>
    </row>
    <row r="775" spans="1:13" x14ac:dyDescent="0.55000000000000004">
      <c r="B775" s="74" t="s">
        <v>765</v>
      </c>
      <c r="C775" s="6" t="s">
        <v>96</v>
      </c>
      <c r="D775" s="6"/>
      <c r="E775" s="6"/>
      <c r="F775" s="6"/>
      <c r="G775" s="6"/>
      <c r="H775" s="6"/>
      <c r="I775" s="6"/>
      <c r="J775" s="6"/>
      <c r="K775" s="6"/>
      <c r="L775" s="6"/>
      <c r="M775" s="93"/>
    </row>
    <row r="776" spans="1:13" x14ac:dyDescent="0.55000000000000004">
      <c r="B776" s="13" t="s">
        <v>762</v>
      </c>
      <c r="C776" s="7">
        <v>5.0000000000000001E-3</v>
      </c>
      <c r="D776" s="6"/>
      <c r="E776" s="6"/>
      <c r="F776" s="6"/>
      <c r="G776" s="6"/>
      <c r="H776" s="6"/>
      <c r="I776" s="6"/>
      <c r="J776" s="6"/>
      <c r="K776" s="6"/>
      <c r="L776" s="6"/>
      <c r="M776" s="93"/>
    </row>
    <row r="777" spans="1:13" x14ac:dyDescent="0.55000000000000004">
      <c r="B777" s="13" t="s">
        <v>761</v>
      </c>
      <c r="C777" s="7">
        <v>0.08</v>
      </c>
      <c r="D777" s="6"/>
      <c r="E777" s="6"/>
      <c r="F777" s="6"/>
      <c r="G777" s="6"/>
      <c r="H777" s="6"/>
      <c r="I777" s="6"/>
      <c r="J777" s="6"/>
      <c r="K777" s="6"/>
      <c r="L777" s="6"/>
      <c r="M777" s="93"/>
    </row>
    <row r="778" spans="1:13" x14ac:dyDescent="0.55000000000000004">
      <c r="B778" s="13" t="s">
        <v>760</v>
      </c>
      <c r="C778" s="7">
        <v>0.45</v>
      </c>
      <c r="D778" s="6"/>
      <c r="E778" s="6"/>
      <c r="F778" s="6"/>
      <c r="G778" s="6"/>
      <c r="H778" s="6"/>
      <c r="I778" s="6"/>
      <c r="J778" s="6"/>
      <c r="K778" s="6"/>
      <c r="L778" s="6"/>
      <c r="M778" s="93"/>
    </row>
    <row r="779" spans="1:13" x14ac:dyDescent="0.55000000000000004">
      <c r="B779" s="13" t="s">
        <v>759</v>
      </c>
      <c r="C779" s="7">
        <v>0.18</v>
      </c>
      <c r="D779" s="6"/>
      <c r="E779" s="6"/>
      <c r="F779" s="6"/>
      <c r="G779" s="6"/>
      <c r="H779" s="6"/>
      <c r="I779" s="6"/>
      <c r="J779" s="6"/>
      <c r="K779" s="6"/>
      <c r="L779" s="6"/>
      <c r="M779" s="93"/>
    </row>
    <row r="780" spans="1:13" x14ac:dyDescent="0.55000000000000004">
      <c r="B780" s="13" t="s">
        <v>1193</v>
      </c>
      <c r="C780" s="7">
        <v>1.4</v>
      </c>
      <c r="D780" s="6"/>
      <c r="E780" s="6"/>
      <c r="F780" s="6"/>
      <c r="G780" s="6"/>
      <c r="H780" s="6"/>
      <c r="I780" s="6"/>
      <c r="J780" s="6"/>
      <c r="K780" s="6"/>
      <c r="L780" s="6"/>
      <c r="M780" s="93"/>
    </row>
    <row r="781" spans="1:13" x14ac:dyDescent="0.55000000000000004">
      <c r="B781" s="13" t="s">
        <v>758</v>
      </c>
      <c r="C781" s="7">
        <v>4</v>
      </c>
      <c r="D781" s="6"/>
      <c r="E781" s="6"/>
      <c r="F781" s="6"/>
      <c r="G781" s="6"/>
      <c r="H781" s="6"/>
      <c r="I781" s="6"/>
      <c r="J781" s="6"/>
      <c r="K781" s="6"/>
      <c r="L781" s="6"/>
      <c r="M781" s="93"/>
    </row>
    <row r="782" spans="1:13" x14ac:dyDescent="0.55000000000000004">
      <c r="A782" s="30" t="s">
        <v>1624</v>
      </c>
      <c r="B782" s="13" t="s">
        <v>757</v>
      </c>
      <c r="C782" s="7">
        <v>30</v>
      </c>
      <c r="D782" s="6"/>
      <c r="E782" s="6"/>
      <c r="F782" s="6"/>
      <c r="G782" s="6"/>
      <c r="H782" s="6"/>
      <c r="I782" s="6"/>
      <c r="J782" s="6"/>
      <c r="K782" s="6"/>
      <c r="L782" s="6"/>
      <c r="M782" s="93"/>
    </row>
    <row r="783" spans="1:13" x14ac:dyDescent="0.55000000000000004">
      <c r="A783" s="82" t="s">
        <v>1622</v>
      </c>
      <c r="B783" s="13" t="s">
        <v>756</v>
      </c>
      <c r="C783" s="7">
        <v>0.1</v>
      </c>
      <c r="D783" s="6"/>
      <c r="E783" s="6"/>
      <c r="F783" s="6"/>
      <c r="G783" s="6"/>
      <c r="H783" s="6"/>
      <c r="I783" s="6"/>
      <c r="J783" s="6"/>
      <c r="K783" s="6"/>
      <c r="L783" s="6"/>
      <c r="M783" s="93"/>
    </row>
    <row r="784" spans="1:13" x14ac:dyDescent="0.55000000000000004">
      <c r="A784" s="81" t="s">
        <v>1623</v>
      </c>
      <c r="B784" s="13" t="s">
        <v>755</v>
      </c>
      <c r="C784" s="7">
        <v>0.99</v>
      </c>
      <c r="D784" s="6"/>
      <c r="E784" s="6"/>
      <c r="F784" s="6"/>
      <c r="G784" s="6"/>
      <c r="H784" s="6"/>
      <c r="I784" s="6"/>
      <c r="J784" s="6"/>
      <c r="K784" s="6"/>
      <c r="L784" s="6"/>
      <c r="M784" s="93"/>
    </row>
    <row r="785" spans="1:13" x14ac:dyDescent="0.55000000000000004">
      <c r="A785" s="82">
        <v>5</v>
      </c>
      <c r="B785" s="21"/>
      <c r="C785" s="6" t="s">
        <v>394</v>
      </c>
      <c r="D785" s="6"/>
      <c r="E785" s="6"/>
      <c r="F785" s="6"/>
      <c r="G785" s="6"/>
      <c r="H785" s="6"/>
      <c r="I785" s="6"/>
      <c r="J785" s="6"/>
      <c r="K785" s="6"/>
      <c r="L785" s="6"/>
      <c r="M785" s="93"/>
    </row>
    <row r="786" spans="1:13" x14ac:dyDescent="0.55000000000000004">
      <c r="A786" s="81">
        <f>EXP(C787*LN(A785)+C788)</f>
        <v>6.1742147206209426</v>
      </c>
      <c r="B786" s="74" t="s">
        <v>1546</v>
      </c>
      <c r="C786" s="6" t="s">
        <v>96</v>
      </c>
      <c r="D786" s="6"/>
      <c r="E786" s="6"/>
      <c r="F786" s="6"/>
      <c r="G786" s="6"/>
      <c r="H786" s="6"/>
      <c r="I786" s="6"/>
      <c r="J786" s="6"/>
      <c r="K786" s="6"/>
      <c r="L786" s="6"/>
      <c r="M786" s="93"/>
    </row>
    <row r="787" spans="1:13" x14ac:dyDescent="0.55000000000000004">
      <c r="A787" s="30" t="s">
        <v>1550</v>
      </c>
      <c r="B787" s="13" t="s">
        <v>1547</v>
      </c>
      <c r="C787" s="7">
        <v>1.1000000000000001</v>
      </c>
      <c r="D787" s="6"/>
      <c r="E787" s="6"/>
      <c r="F787" s="6"/>
      <c r="G787" s="6"/>
      <c r="H787" s="6"/>
      <c r="I787" s="6"/>
      <c r="J787" s="6"/>
      <c r="K787" s="6"/>
      <c r="L787" s="6"/>
      <c r="M787" s="93"/>
    </row>
    <row r="788" spans="1:13" x14ac:dyDescent="0.55000000000000004">
      <c r="B788" s="13" t="s">
        <v>1548</v>
      </c>
      <c r="C788" s="7">
        <v>0.05</v>
      </c>
      <c r="D788" s="6"/>
      <c r="E788" s="6"/>
      <c r="F788" s="6"/>
      <c r="G788" s="6"/>
      <c r="H788" s="6"/>
      <c r="I788" s="6"/>
      <c r="J788" s="6"/>
      <c r="K788" s="6"/>
      <c r="L788" s="6"/>
      <c r="M788" s="93"/>
    </row>
    <row r="789" spans="1:13" x14ac:dyDescent="0.55000000000000004">
      <c r="A789" s="30" t="s">
        <v>1551</v>
      </c>
      <c r="B789" s="13" t="s">
        <v>1549</v>
      </c>
      <c r="C789" s="7">
        <v>1.5</v>
      </c>
      <c r="D789" s="6"/>
      <c r="E789" s="6"/>
      <c r="F789" s="6"/>
      <c r="G789" s="6"/>
      <c r="H789" s="6"/>
      <c r="I789" s="6"/>
      <c r="J789" s="6"/>
      <c r="K789" s="6"/>
      <c r="L789" s="6"/>
      <c r="M789" s="93"/>
    </row>
    <row r="790" spans="1:13" x14ac:dyDescent="0.55000000000000004">
      <c r="B790" s="21"/>
      <c r="C790" s="6" t="s">
        <v>394</v>
      </c>
      <c r="D790" s="6"/>
      <c r="E790" s="6"/>
      <c r="F790" s="6"/>
      <c r="G790" s="6"/>
      <c r="H790" s="6"/>
      <c r="I790" s="6"/>
      <c r="J790" s="6"/>
      <c r="K790" s="6"/>
      <c r="L790" s="6"/>
      <c r="M790" s="93"/>
    </row>
    <row r="791" spans="1:13" x14ac:dyDescent="0.55000000000000004">
      <c r="B791" s="74" t="s">
        <v>90</v>
      </c>
      <c r="C791" s="6" t="s">
        <v>69</v>
      </c>
      <c r="D791" s="6"/>
      <c r="E791" s="6"/>
      <c r="F791" s="6"/>
      <c r="G791" s="6"/>
      <c r="H791" s="6"/>
      <c r="I791" s="6"/>
      <c r="J791" s="6"/>
      <c r="K791" s="6"/>
      <c r="L791" s="6"/>
      <c r="M791" s="93"/>
    </row>
    <row r="792" spans="1:13" x14ac:dyDescent="0.55000000000000004">
      <c r="B792" s="13" t="s">
        <v>754</v>
      </c>
      <c r="C792" s="7"/>
      <c r="D792" s="6"/>
      <c r="E792" s="6"/>
      <c r="F792" s="6"/>
      <c r="G792" s="6"/>
      <c r="H792" s="6"/>
      <c r="I792" s="6"/>
      <c r="J792" s="6"/>
      <c r="K792" s="6"/>
      <c r="L792" s="6"/>
      <c r="M792" s="93"/>
    </row>
    <row r="793" spans="1:13" x14ac:dyDescent="0.55000000000000004">
      <c r="B793" s="13" t="s">
        <v>753</v>
      </c>
      <c r="C793" s="7"/>
      <c r="D793" s="6"/>
      <c r="E793" s="6"/>
      <c r="F793" s="6"/>
      <c r="G793" s="6"/>
      <c r="H793" s="6"/>
      <c r="I793" s="6"/>
      <c r="J793" s="6"/>
      <c r="K793" s="6"/>
      <c r="L793" s="6"/>
      <c r="M793" s="93"/>
    </row>
    <row r="794" spans="1:13" x14ac:dyDescent="0.55000000000000004">
      <c r="B794" s="13" t="s">
        <v>752</v>
      </c>
      <c r="C794" s="7"/>
      <c r="D794" s="6"/>
      <c r="E794" s="6"/>
      <c r="F794" s="6"/>
      <c r="G794" s="6"/>
      <c r="H794" s="6"/>
      <c r="I794" s="6"/>
      <c r="J794" s="6"/>
      <c r="K794" s="6"/>
      <c r="L794" s="6"/>
      <c r="M794" s="93"/>
    </row>
    <row r="795" spans="1:13" x14ac:dyDescent="0.55000000000000004">
      <c r="A795" s="30" t="s">
        <v>895</v>
      </c>
      <c r="B795" s="13" t="s">
        <v>751</v>
      </c>
      <c r="C795" s="7"/>
      <c r="D795" s="6"/>
      <c r="E795" s="6"/>
      <c r="F795" s="6"/>
      <c r="G795" s="6"/>
      <c r="H795" s="6"/>
      <c r="I795" s="6"/>
      <c r="J795" s="6"/>
      <c r="K795" s="6"/>
      <c r="L795" s="6"/>
      <c r="M795" s="93"/>
    </row>
    <row r="796" spans="1:13" x14ac:dyDescent="0.55000000000000004">
      <c r="B796" s="13" t="s">
        <v>750</v>
      </c>
      <c r="C796" s="7"/>
      <c r="D796" s="6"/>
      <c r="E796" s="6"/>
      <c r="F796" s="6"/>
      <c r="G796" s="6"/>
      <c r="H796" s="6"/>
      <c r="I796" s="6"/>
      <c r="J796" s="6"/>
      <c r="K796" s="6"/>
      <c r="L796" s="6"/>
      <c r="M796" s="93"/>
    </row>
    <row r="797" spans="1:13" x14ac:dyDescent="0.55000000000000004">
      <c r="B797" s="13" t="s">
        <v>749</v>
      </c>
      <c r="C797" s="7"/>
      <c r="D797" s="6"/>
      <c r="E797" s="6"/>
      <c r="F797" s="6"/>
      <c r="G797" s="6"/>
      <c r="H797" s="6"/>
      <c r="I797" s="6"/>
      <c r="J797" s="6"/>
      <c r="K797" s="6"/>
      <c r="L797" s="6"/>
      <c r="M797" s="93"/>
    </row>
    <row r="798" spans="1:13" x14ac:dyDescent="0.55000000000000004">
      <c r="B798" s="13" t="s">
        <v>748</v>
      </c>
      <c r="C798" s="7"/>
      <c r="D798" s="6"/>
      <c r="E798" s="6"/>
      <c r="F798" s="6"/>
      <c r="G798" s="6"/>
      <c r="H798" s="6"/>
      <c r="I798" s="6"/>
      <c r="J798" s="6"/>
      <c r="K798" s="6"/>
      <c r="L798" s="6"/>
      <c r="M798" s="93"/>
    </row>
    <row r="799" spans="1:13" x14ac:dyDescent="0.55000000000000004">
      <c r="B799" s="21"/>
      <c r="C799" s="6" t="s">
        <v>394</v>
      </c>
      <c r="D799" s="6"/>
      <c r="E799" s="6"/>
      <c r="F799" s="6"/>
      <c r="G799" s="6"/>
      <c r="H799" s="6"/>
      <c r="I799" s="6"/>
      <c r="J799" s="6"/>
      <c r="K799" s="6"/>
      <c r="L799" s="6"/>
      <c r="M799" s="93"/>
    </row>
    <row r="800" spans="1:13" x14ac:dyDescent="0.55000000000000004">
      <c r="B800" s="74" t="s">
        <v>388</v>
      </c>
      <c r="C800" s="6" t="s">
        <v>96</v>
      </c>
      <c r="D800" s="6"/>
      <c r="E800" s="6"/>
      <c r="F800" s="6"/>
      <c r="G800" s="6"/>
      <c r="H800" s="6"/>
      <c r="I800" s="6"/>
      <c r="J800" s="6"/>
      <c r="K800" s="6"/>
      <c r="L800" s="6"/>
      <c r="M800" s="93"/>
    </row>
    <row r="801" spans="1:13" x14ac:dyDescent="0.55000000000000004">
      <c r="B801" s="13" t="s">
        <v>747</v>
      </c>
      <c r="C801" s="7">
        <v>1.4999999999999999E-2</v>
      </c>
      <c r="D801" s="6"/>
      <c r="E801" s="6"/>
      <c r="F801" s="6"/>
      <c r="G801" s="6"/>
      <c r="H801" s="6"/>
      <c r="I801" s="6"/>
      <c r="J801" s="6"/>
      <c r="K801" s="6"/>
      <c r="L801" s="6"/>
      <c r="M801" s="93"/>
    </row>
    <row r="802" spans="1:13" x14ac:dyDescent="0.55000000000000004">
      <c r="A802" s="30" t="s">
        <v>894</v>
      </c>
      <c r="B802" s="13" t="s">
        <v>746</v>
      </c>
      <c r="C802" s="7">
        <v>1.2</v>
      </c>
      <c r="D802" s="6"/>
      <c r="E802" s="6"/>
      <c r="F802" s="6"/>
      <c r="G802" s="6"/>
      <c r="H802" s="6"/>
      <c r="I802" s="6"/>
      <c r="J802" s="6"/>
      <c r="K802" s="6"/>
      <c r="L802" s="6"/>
      <c r="M802" s="93"/>
    </row>
    <row r="803" spans="1:13" x14ac:dyDescent="0.55000000000000004">
      <c r="B803" s="13" t="s">
        <v>745</v>
      </c>
      <c r="C803" s="7">
        <v>0.15</v>
      </c>
      <c r="D803" s="6"/>
      <c r="E803" s="6"/>
      <c r="F803" s="6"/>
      <c r="G803" s="6"/>
      <c r="H803" s="6"/>
      <c r="I803" s="6"/>
      <c r="J803" s="6"/>
      <c r="K803" s="6"/>
      <c r="L803" s="6"/>
      <c r="M803" s="93"/>
    </row>
    <row r="804" spans="1:13" x14ac:dyDescent="0.55000000000000004">
      <c r="B804" s="13" t="s">
        <v>744</v>
      </c>
      <c r="C804" s="7">
        <v>0.05</v>
      </c>
      <c r="D804" s="6"/>
      <c r="E804" s="6"/>
      <c r="F804" s="6"/>
      <c r="G804" s="6"/>
      <c r="H804" s="6"/>
      <c r="I804" s="6"/>
      <c r="J804" s="6"/>
      <c r="K804" s="6"/>
      <c r="L804" s="6"/>
      <c r="M804" s="93"/>
    </row>
    <row r="805" spans="1:13" x14ac:dyDescent="0.55000000000000004">
      <c r="B805" s="13" t="s">
        <v>743</v>
      </c>
      <c r="C805" s="7">
        <v>5</v>
      </c>
      <c r="D805" s="6"/>
      <c r="E805" s="6"/>
      <c r="F805" s="6"/>
      <c r="G805" s="6"/>
      <c r="H805" s="6"/>
      <c r="I805" s="6"/>
      <c r="J805" s="6"/>
      <c r="K805" s="6"/>
      <c r="L805" s="6"/>
      <c r="M805" s="93"/>
    </row>
    <row r="806" spans="1:13" x14ac:dyDescent="0.55000000000000004">
      <c r="B806" s="13" t="s">
        <v>742</v>
      </c>
      <c r="C806" s="7">
        <v>25</v>
      </c>
      <c r="D806" s="6"/>
      <c r="E806" s="6"/>
      <c r="F806" s="6"/>
      <c r="G806" s="6"/>
      <c r="H806" s="6"/>
      <c r="I806" s="6"/>
      <c r="J806" s="6"/>
      <c r="K806" s="6"/>
      <c r="L806" s="6"/>
      <c r="M806" s="93"/>
    </row>
    <row r="807" spans="1:13" x14ac:dyDescent="0.55000000000000004">
      <c r="B807" s="13" t="s">
        <v>741</v>
      </c>
      <c r="C807" s="7">
        <v>0.1</v>
      </c>
      <c r="D807" s="6"/>
      <c r="E807" s="6"/>
      <c r="F807" s="6"/>
      <c r="G807" s="6"/>
      <c r="H807" s="6"/>
      <c r="I807" s="6"/>
      <c r="J807" s="6"/>
      <c r="K807" s="6"/>
      <c r="L807" s="6"/>
      <c r="M807" s="93"/>
    </row>
    <row r="808" spans="1:13" x14ac:dyDescent="0.55000000000000004">
      <c r="B808" s="13" t="s">
        <v>740</v>
      </c>
      <c r="C808" s="7">
        <v>0.99</v>
      </c>
      <c r="D808" s="6"/>
      <c r="E808" s="6"/>
      <c r="F808" s="6"/>
      <c r="G808" s="6"/>
      <c r="H808" s="6"/>
      <c r="I808" s="6"/>
      <c r="J808" s="6"/>
      <c r="K808" s="6"/>
      <c r="L808" s="6"/>
      <c r="M808" s="93"/>
    </row>
    <row r="809" spans="1:13" x14ac:dyDescent="0.55000000000000004">
      <c r="B809" s="13" t="s">
        <v>1457</v>
      </c>
      <c r="C809" s="7">
        <v>168</v>
      </c>
      <c r="D809" s="6"/>
      <c r="E809" s="6"/>
      <c r="F809" s="6"/>
      <c r="G809" s="6"/>
      <c r="H809" s="6"/>
      <c r="I809" s="6"/>
      <c r="J809" s="6"/>
      <c r="K809" s="6"/>
      <c r="L809" s="6"/>
      <c r="M809" s="93"/>
    </row>
    <row r="810" spans="1:13" x14ac:dyDescent="0.55000000000000004">
      <c r="B810" s="13" t="s">
        <v>773</v>
      </c>
      <c r="C810" s="7">
        <v>4.57</v>
      </c>
      <c r="D810" s="6"/>
      <c r="E810" s="6"/>
      <c r="F810" s="6"/>
      <c r="G810" s="6"/>
      <c r="H810" s="6"/>
      <c r="I810" s="6"/>
      <c r="J810" s="6"/>
      <c r="K810" s="6"/>
      <c r="L810" s="6"/>
      <c r="M810" s="93"/>
    </row>
    <row r="811" spans="1:13" x14ac:dyDescent="0.55000000000000004">
      <c r="B811" s="13" t="s">
        <v>739</v>
      </c>
      <c r="C811" s="7">
        <v>0.05</v>
      </c>
      <c r="D811" s="6"/>
      <c r="E811" s="6"/>
      <c r="F811" s="6"/>
      <c r="G811" s="6"/>
      <c r="H811" s="6"/>
      <c r="I811" s="6"/>
      <c r="J811" s="6"/>
      <c r="K811" s="6"/>
      <c r="L811" s="6"/>
      <c r="M811" s="93"/>
    </row>
    <row r="812" spans="1:13" x14ac:dyDescent="0.55000000000000004">
      <c r="B812" s="13" t="s">
        <v>738</v>
      </c>
      <c r="C812" s="7">
        <v>0</v>
      </c>
      <c r="D812" s="6"/>
      <c r="E812" s="6"/>
      <c r="F812" s="6"/>
      <c r="G812" s="6"/>
      <c r="H812" s="6"/>
      <c r="I812" s="6"/>
      <c r="J812" s="6"/>
      <c r="K812" s="6"/>
      <c r="L812" s="6"/>
      <c r="M812" s="93"/>
    </row>
    <row r="813" spans="1:13" x14ac:dyDescent="0.55000000000000004">
      <c r="B813" s="13" t="s">
        <v>737</v>
      </c>
      <c r="C813" s="7">
        <v>0.37</v>
      </c>
      <c r="D813" s="6"/>
      <c r="E813" s="6"/>
      <c r="F813" s="6"/>
      <c r="G813" s="6"/>
      <c r="H813" s="6"/>
      <c r="I813" s="6"/>
      <c r="J813" s="6"/>
      <c r="K813" s="6"/>
      <c r="L813" s="6"/>
      <c r="M813" s="93"/>
    </row>
    <row r="814" spans="1:13" x14ac:dyDescent="0.55000000000000004">
      <c r="B814" s="13" t="s">
        <v>735</v>
      </c>
      <c r="C814" s="7">
        <v>5</v>
      </c>
      <c r="D814" s="6"/>
      <c r="E814" s="6"/>
      <c r="F814" s="6"/>
      <c r="G814" s="6"/>
      <c r="H814" s="6"/>
      <c r="I814" s="6"/>
      <c r="J814" s="6"/>
      <c r="K814" s="6"/>
      <c r="L814" s="6"/>
      <c r="M814" s="93"/>
    </row>
    <row r="815" spans="1:13" x14ac:dyDescent="0.55000000000000004">
      <c r="B815" s="13" t="s">
        <v>736</v>
      </c>
      <c r="C815" s="7">
        <v>25</v>
      </c>
      <c r="D815" s="6"/>
      <c r="E815" s="6"/>
      <c r="F815" s="6"/>
      <c r="G815" s="6"/>
      <c r="H815" s="6"/>
      <c r="I815" s="6"/>
      <c r="J815" s="6"/>
      <c r="K815" s="6"/>
      <c r="L815" s="6"/>
      <c r="M815" s="93"/>
    </row>
    <row r="816" spans="1:13" x14ac:dyDescent="0.55000000000000004">
      <c r="B816" s="13" t="s">
        <v>734</v>
      </c>
      <c r="C816" s="7">
        <v>0.1</v>
      </c>
      <c r="D816" s="6"/>
      <c r="E816" s="6"/>
      <c r="F816" s="6"/>
      <c r="G816" s="6"/>
      <c r="H816" s="6"/>
      <c r="I816" s="6"/>
      <c r="J816" s="6"/>
      <c r="K816" s="6"/>
      <c r="L816" s="6"/>
      <c r="M816" s="93"/>
    </row>
    <row r="817" spans="1:13" x14ac:dyDescent="0.55000000000000004">
      <c r="B817" s="13" t="s">
        <v>733</v>
      </c>
      <c r="C817" s="7">
        <v>0.99</v>
      </c>
      <c r="D817" s="6"/>
      <c r="E817" s="6"/>
      <c r="F817" s="6"/>
      <c r="G817" s="6"/>
      <c r="H817" s="6"/>
      <c r="I817" s="6"/>
      <c r="J817" s="6"/>
      <c r="K817" s="6"/>
      <c r="L817" s="6"/>
      <c r="M817" s="93"/>
    </row>
    <row r="818" spans="1:13" x14ac:dyDescent="0.55000000000000004">
      <c r="B818" s="13" t="s">
        <v>732</v>
      </c>
      <c r="C818" s="7">
        <v>0.1</v>
      </c>
      <c r="D818" s="6"/>
      <c r="E818" s="6"/>
      <c r="F818" s="6"/>
      <c r="G818" s="6"/>
      <c r="H818" s="6"/>
      <c r="I818" s="6"/>
      <c r="J818" s="6"/>
      <c r="K818" s="6"/>
      <c r="L818" s="6"/>
      <c r="M818" s="93"/>
    </row>
    <row r="819" spans="1:13" x14ac:dyDescent="0.55000000000000004">
      <c r="B819" s="13" t="s">
        <v>731</v>
      </c>
      <c r="C819" s="7">
        <v>0.1</v>
      </c>
      <c r="D819" s="6"/>
      <c r="E819" s="6"/>
      <c r="F819" s="6"/>
      <c r="G819" s="6"/>
      <c r="H819" s="6"/>
      <c r="I819" s="6"/>
      <c r="J819" s="6"/>
      <c r="K819" s="6"/>
      <c r="L819" s="6"/>
      <c r="M819" s="93"/>
    </row>
    <row r="820" spans="1:13" x14ac:dyDescent="0.55000000000000004">
      <c r="B820" s="13" t="s">
        <v>730</v>
      </c>
      <c r="C820" s="7">
        <v>0.3</v>
      </c>
      <c r="D820" s="6"/>
      <c r="E820" s="6"/>
      <c r="F820" s="6"/>
      <c r="G820" s="6"/>
      <c r="H820" s="6"/>
      <c r="I820" s="6"/>
      <c r="J820" s="6"/>
      <c r="K820" s="6"/>
      <c r="L820" s="6"/>
      <c r="M820" s="93"/>
    </row>
    <row r="821" spans="1:13" x14ac:dyDescent="0.55000000000000004">
      <c r="B821" s="13" t="s">
        <v>729</v>
      </c>
      <c r="C821" s="7">
        <v>0.2</v>
      </c>
      <c r="D821" s="6"/>
      <c r="E821" s="6"/>
      <c r="F821" s="6"/>
      <c r="G821" s="6"/>
      <c r="H821" s="6"/>
      <c r="I821" s="6"/>
      <c r="J821" s="6"/>
      <c r="K821" s="6"/>
      <c r="L821" s="6"/>
      <c r="M821" s="93"/>
    </row>
    <row r="822" spans="1:13" x14ac:dyDescent="0.55000000000000004">
      <c r="B822" s="21"/>
      <c r="C822" s="6" t="s">
        <v>394</v>
      </c>
      <c r="D822" s="6"/>
      <c r="E822" s="6"/>
      <c r="F822" s="6"/>
      <c r="G822" s="6"/>
      <c r="H822" s="6"/>
      <c r="I822" s="6"/>
      <c r="J822" s="6"/>
      <c r="K822" s="6"/>
      <c r="L822" s="6"/>
      <c r="M822" s="93"/>
    </row>
    <row r="823" spans="1:13" x14ac:dyDescent="0.55000000000000004">
      <c r="B823" s="74" t="s">
        <v>94</v>
      </c>
      <c r="C823" s="6" t="s">
        <v>96</v>
      </c>
      <c r="D823" s="6"/>
      <c r="E823" s="6"/>
      <c r="F823" s="6"/>
      <c r="G823" s="6"/>
      <c r="H823" s="6"/>
      <c r="I823" s="6"/>
      <c r="J823" s="6"/>
      <c r="K823" s="6"/>
      <c r="L823" s="6"/>
      <c r="M823" s="93"/>
    </row>
    <row r="824" spans="1:13" x14ac:dyDescent="0.55000000000000004">
      <c r="A824" s="30" t="s">
        <v>893</v>
      </c>
      <c r="B824" s="13" t="s">
        <v>728</v>
      </c>
      <c r="C824" s="7">
        <v>0</v>
      </c>
      <c r="D824" s="6"/>
      <c r="E824" s="6"/>
      <c r="F824" s="6"/>
      <c r="G824" s="6"/>
      <c r="H824" s="6"/>
      <c r="I824" s="6"/>
      <c r="J824" s="6"/>
      <c r="K824" s="6"/>
      <c r="L824" s="6"/>
      <c r="M824" s="93"/>
    </row>
    <row r="825" spans="1:13" x14ac:dyDescent="0.55000000000000004">
      <c r="B825" s="21"/>
      <c r="C825" s="6" t="s">
        <v>394</v>
      </c>
      <c r="D825" s="6"/>
      <c r="E825" s="6"/>
      <c r="F825" s="6"/>
      <c r="G825" s="6"/>
      <c r="H825" s="6"/>
      <c r="I825" s="6"/>
      <c r="J825" s="6"/>
      <c r="K825" s="6"/>
      <c r="L825" s="6"/>
      <c r="M825" s="93"/>
    </row>
    <row r="826" spans="1:13" x14ac:dyDescent="0.55000000000000004">
      <c r="B826" s="74" t="s">
        <v>663</v>
      </c>
      <c r="C826" s="6" t="s">
        <v>1090</v>
      </c>
      <c r="D826" s="6"/>
      <c r="E826" s="6"/>
      <c r="F826" s="6"/>
      <c r="G826" s="6"/>
      <c r="H826" s="6"/>
      <c r="I826" s="6"/>
      <c r="J826" s="6"/>
      <c r="K826" s="6"/>
      <c r="L826" s="6"/>
      <c r="M826" s="93"/>
    </row>
    <row r="827" spans="1:13" x14ac:dyDescent="0.55000000000000004">
      <c r="B827" s="13" t="s">
        <v>727</v>
      </c>
      <c r="C827" s="7">
        <v>0.1</v>
      </c>
      <c r="D827" s="6"/>
      <c r="E827" s="6"/>
      <c r="F827" s="6"/>
      <c r="G827" s="6"/>
      <c r="H827" s="6"/>
      <c r="I827" s="6"/>
      <c r="J827" s="6"/>
      <c r="K827" s="6"/>
      <c r="L827" s="6"/>
      <c r="M827" s="93"/>
    </row>
    <row r="828" spans="1:13" x14ac:dyDescent="0.55000000000000004">
      <c r="B828" s="21"/>
      <c r="C828" s="6" t="s">
        <v>394</v>
      </c>
      <c r="D828" s="6"/>
      <c r="E828" s="6"/>
      <c r="F828" s="6"/>
      <c r="G828" s="6"/>
      <c r="H828" s="6"/>
      <c r="I828" s="6"/>
      <c r="J828" s="6"/>
      <c r="K828" s="6"/>
      <c r="L828" s="6"/>
      <c r="M828" s="93"/>
    </row>
    <row r="829" spans="1:13" x14ac:dyDescent="0.55000000000000004">
      <c r="B829" s="74" t="s">
        <v>172</v>
      </c>
      <c r="C829" s="6" t="s">
        <v>96</v>
      </c>
      <c r="D829" s="6"/>
      <c r="E829" s="6"/>
      <c r="F829" s="6"/>
      <c r="G829" s="6"/>
      <c r="H829" s="6"/>
      <c r="I829" s="6"/>
      <c r="J829" s="6"/>
      <c r="K829" s="6"/>
      <c r="L829" s="6"/>
      <c r="M829" s="93"/>
    </row>
    <row r="830" spans="1:13" x14ac:dyDescent="0.55000000000000004">
      <c r="B830" s="13" t="s">
        <v>726</v>
      </c>
      <c r="C830" s="7" t="s">
        <v>924</v>
      </c>
      <c r="D830" s="6"/>
      <c r="E830" s="6"/>
      <c r="F830" s="6"/>
      <c r="G830" s="6"/>
      <c r="H830" s="6"/>
      <c r="I830" s="6"/>
      <c r="J830" s="6"/>
      <c r="K830" s="6"/>
      <c r="L830" s="6"/>
      <c r="M830" s="93"/>
    </row>
    <row r="831" spans="1:13" x14ac:dyDescent="0.55000000000000004">
      <c r="B831" s="13" t="s">
        <v>725</v>
      </c>
      <c r="C831" s="7" t="s">
        <v>17</v>
      </c>
      <c r="D831" s="6"/>
      <c r="E831" s="6"/>
      <c r="F831" s="6"/>
      <c r="G831" s="6"/>
      <c r="H831" s="6"/>
      <c r="I831" s="6"/>
      <c r="J831" s="6"/>
      <c r="K831" s="6"/>
      <c r="L831" s="6"/>
      <c r="M831" s="93"/>
    </row>
    <row r="832" spans="1:13" x14ac:dyDescent="0.55000000000000004">
      <c r="B832" s="13" t="s">
        <v>724</v>
      </c>
      <c r="C832" s="7">
        <v>0</v>
      </c>
      <c r="D832" s="5"/>
      <c r="E832" s="6"/>
      <c r="F832" s="6"/>
      <c r="G832" s="6"/>
      <c r="H832" s="6"/>
      <c r="I832" s="6"/>
      <c r="J832" s="6"/>
      <c r="K832" s="6"/>
      <c r="L832" s="6"/>
      <c r="M832" s="93"/>
    </row>
    <row r="833" spans="2:79" x14ac:dyDescent="0.55000000000000004">
      <c r="B833" s="13" t="s">
        <v>723</v>
      </c>
      <c r="C833" s="7">
        <v>0.08</v>
      </c>
      <c r="D833" s="6"/>
      <c r="E833" s="6"/>
      <c r="F833" s="6"/>
      <c r="G833" s="6"/>
      <c r="H833" s="6"/>
      <c r="I833" s="6"/>
      <c r="J833" s="6"/>
      <c r="K833" s="6"/>
      <c r="L833" s="6"/>
      <c r="M833" s="93"/>
    </row>
    <row r="834" spans="2:79" x14ac:dyDescent="0.55000000000000004">
      <c r="B834" s="13" t="s">
        <v>722</v>
      </c>
      <c r="C834" s="7">
        <v>0.1</v>
      </c>
      <c r="D834" s="6"/>
      <c r="E834" s="6"/>
      <c r="F834" s="6"/>
      <c r="G834" s="6"/>
      <c r="H834" s="6"/>
      <c r="I834" s="6"/>
      <c r="J834" s="6"/>
      <c r="K834" s="6"/>
      <c r="L834" s="6"/>
      <c r="M834" s="93"/>
      <c r="N834" s="2"/>
    </row>
    <row r="835" spans="2:79" x14ac:dyDescent="0.55000000000000004">
      <c r="B835" s="13" t="s">
        <v>721</v>
      </c>
      <c r="C835" s="7">
        <v>1</v>
      </c>
      <c r="D835" s="5"/>
      <c r="E835" s="6"/>
      <c r="F835" s="6"/>
      <c r="G835" s="6"/>
      <c r="H835" s="6"/>
      <c r="I835" s="6"/>
      <c r="J835" s="6"/>
      <c r="K835" s="6"/>
      <c r="L835" s="6"/>
      <c r="M835" s="93"/>
      <c r="N835" s="2"/>
    </row>
    <row r="836" spans="2:79" x14ac:dyDescent="0.55000000000000004">
      <c r="B836" s="13" t="s">
        <v>720</v>
      </c>
      <c r="C836" s="7">
        <v>1</v>
      </c>
      <c r="D836" s="6"/>
      <c r="E836" s="6"/>
      <c r="F836" s="6"/>
      <c r="G836" s="6"/>
      <c r="H836" s="6"/>
      <c r="I836" s="6"/>
      <c r="J836" s="6"/>
      <c r="K836" s="6"/>
      <c r="L836" s="6"/>
      <c r="M836" s="93"/>
      <c r="N836" s="2"/>
    </row>
    <row r="837" spans="2:79" x14ac:dyDescent="0.55000000000000004">
      <c r="B837" s="13" t="s">
        <v>719</v>
      </c>
      <c r="C837" s="7">
        <v>0.1</v>
      </c>
      <c r="D837" s="6"/>
      <c r="E837" s="6"/>
      <c r="F837" s="6"/>
      <c r="G837" s="6"/>
      <c r="H837" s="6"/>
      <c r="I837" s="6"/>
      <c r="J837" s="6"/>
      <c r="K837" s="6"/>
      <c r="L837" s="6"/>
      <c r="M837" s="93"/>
      <c r="N837" s="2"/>
    </row>
    <row r="838" spans="2:79" x14ac:dyDescent="0.55000000000000004">
      <c r="B838" s="13" t="s">
        <v>718</v>
      </c>
      <c r="C838" s="7" t="s">
        <v>924</v>
      </c>
      <c r="D838" s="6"/>
      <c r="E838" s="6"/>
      <c r="F838" s="6"/>
      <c r="G838" s="6"/>
      <c r="H838" s="6"/>
      <c r="I838" s="6"/>
      <c r="J838" s="6"/>
      <c r="K838" s="6"/>
      <c r="L838" s="6"/>
      <c r="M838" s="93"/>
      <c r="N838" s="2"/>
      <c r="AQ838" s="2"/>
      <c r="AR838" s="2"/>
      <c r="AS838" s="2"/>
      <c r="AT838" s="2"/>
      <c r="AU838" s="2"/>
      <c r="AV838" s="2"/>
      <c r="AW838" s="2"/>
      <c r="AX838" s="2"/>
      <c r="AY838" s="2"/>
      <c r="AZ838" s="2"/>
      <c r="BA838" s="2"/>
    </row>
    <row r="839" spans="2:79" x14ac:dyDescent="0.55000000000000004">
      <c r="B839" s="13" t="s">
        <v>715</v>
      </c>
      <c r="C839" s="7">
        <v>4</v>
      </c>
      <c r="D839" s="6"/>
      <c r="E839" s="6"/>
      <c r="F839" s="6"/>
      <c r="G839" s="6"/>
      <c r="H839" s="6"/>
      <c r="I839" s="6"/>
      <c r="J839" s="6"/>
      <c r="K839" s="6"/>
      <c r="L839" s="6"/>
      <c r="M839" s="93"/>
      <c r="N839" s="2"/>
      <c r="AQ839" s="2"/>
      <c r="AR839" s="2"/>
      <c r="AS839" s="2"/>
      <c r="AT839" s="2"/>
      <c r="AU839" s="2"/>
      <c r="AV839" s="2"/>
      <c r="AW839" s="2"/>
      <c r="AX839" s="2"/>
      <c r="AY839" s="2"/>
      <c r="AZ839" s="2"/>
      <c r="BA839" s="2"/>
    </row>
    <row r="840" spans="2:79" x14ac:dyDescent="0.55000000000000004">
      <c r="B840" s="13" t="s">
        <v>714</v>
      </c>
      <c r="C840" s="7">
        <v>30</v>
      </c>
      <c r="D840" s="5"/>
      <c r="E840" s="6"/>
      <c r="F840" s="6"/>
      <c r="G840" s="6"/>
      <c r="H840" s="6"/>
      <c r="I840" s="6"/>
      <c r="J840" s="6"/>
      <c r="K840" s="6"/>
      <c r="L840" s="6"/>
      <c r="M840" s="93"/>
    </row>
    <row r="841" spans="2:79" x14ac:dyDescent="0.55000000000000004">
      <c r="B841" s="13" t="s">
        <v>717</v>
      </c>
      <c r="C841" s="7">
        <v>0.1</v>
      </c>
      <c r="D841" s="6"/>
      <c r="E841" s="6"/>
      <c r="F841" s="6"/>
      <c r="G841" s="6"/>
      <c r="H841" s="6"/>
      <c r="I841" s="6"/>
      <c r="J841" s="6"/>
      <c r="K841" s="6"/>
      <c r="L841" s="6"/>
      <c r="M841" s="93"/>
      <c r="N841" s="2"/>
    </row>
    <row r="842" spans="2:79" x14ac:dyDescent="0.55000000000000004">
      <c r="B842" s="13" t="s">
        <v>716</v>
      </c>
      <c r="C842" s="7">
        <v>0.99</v>
      </c>
      <c r="D842" s="6"/>
      <c r="E842" s="6"/>
      <c r="F842" s="6"/>
      <c r="G842" s="6"/>
      <c r="H842" s="6"/>
      <c r="I842" s="6"/>
      <c r="J842" s="6"/>
      <c r="K842" s="6"/>
      <c r="L842" s="6"/>
      <c r="M842" s="93"/>
    </row>
    <row r="843" spans="2:79" x14ac:dyDescent="0.55000000000000004">
      <c r="B843" s="21"/>
      <c r="C843" s="6" t="s">
        <v>394</v>
      </c>
      <c r="D843" s="6"/>
      <c r="E843" s="6"/>
      <c r="F843" s="6"/>
      <c r="G843" s="6"/>
      <c r="H843" s="6"/>
      <c r="I843" s="6"/>
      <c r="J843" s="6"/>
      <c r="K843" s="6"/>
      <c r="L843" s="6"/>
      <c r="M843" s="96"/>
    </row>
    <row r="844" spans="2:79" x14ac:dyDescent="0.55000000000000004">
      <c r="B844" s="74" t="s">
        <v>171</v>
      </c>
      <c r="C844" s="7">
        <v>1</v>
      </c>
      <c r="D844" s="7">
        <v>2</v>
      </c>
      <c r="E844" s="7">
        <v>3</v>
      </c>
      <c r="F844" s="7">
        <v>4</v>
      </c>
      <c r="G844" s="7">
        <v>5</v>
      </c>
      <c r="H844" s="7">
        <v>6</v>
      </c>
      <c r="I844" s="7">
        <v>7</v>
      </c>
      <c r="J844" s="7">
        <v>8</v>
      </c>
      <c r="K844" s="7">
        <v>9</v>
      </c>
      <c r="L844" s="7">
        <v>10</v>
      </c>
      <c r="M844" s="7">
        <v>11</v>
      </c>
      <c r="N844" s="7">
        <v>12</v>
      </c>
      <c r="O844" s="7">
        <v>13</v>
      </c>
      <c r="P844" s="7">
        <v>14</v>
      </c>
      <c r="Q844" s="7">
        <v>15</v>
      </c>
      <c r="R844" s="7">
        <v>16</v>
      </c>
      <c r="S844" s="7">
        <v>17</v>
      </c>
      <c r="T844" s="7">
        <v>18</v>
      </c>
      <c r="U844" s="7">
        <v>19</v>
      </c>
      <c r="V844" s="7">
        <v>20</v>
      </c>
      <c r="W844" s="7">
        <v>21</v>
      </c>
      <c r="X844" s="7">
        <v>22</v>
      </c>
      <c r="Y844" s="7">
        <v>23</v>
      </c>
      <c r="Z844" s="7">
        <v>24</v>
      </c>
      <c r="AA844" s="7">
        <v>25</v>
      </c>
      <c r="AB844" s="7">
        <v>26</v>
      </c>
      <c r="AC844" s="7">
        <v>27</v>
      </c>
      <c r="AD844" s="7">
        <v>28</v>
      </c>
      <c r="AE844" s="7">
        <v>29</v>
      </c>
      <c r="AF844" s="7">
        <v>30</v>
      </c>
      <c r="AG844" s="7">
        <v>31</v>
      </c>
      <c r="AH844" s="7">
        <v>32</v>
      </c>
      <c r="AI844" s="7">
        <v>33</v>
      </c>
      <c r="AJ844" s="7">
        <v>34</v>
      </c>
      <c r="AK844" s="7">
        <v>35</v>
      </c>
      <c r="AL844" s="7">
        <v>36</v>
      </c>
      <c r="AM844" s="7">
        <v>37</v>
      </c>
      <c r="AN844" s="7">
        <v>38</v>
      </c>
      <c r="AO844" s="7">
        <v>39</v>
      </c>
      <c r="AP844" s="7">
        <v>40</v>
      </c>
      <c r="AQ844" s="7">
        <v>41</v>
      </c>
      <c r="AR844" s="7">
        <v>42</v>
      </c>
      <c r="AS844" s="7">
        <v>43</v>
      </c>
      <c r="AT844" s="7">
        <v>44</v>
      </c>
      <c r="AU844" s="7">
        <v>45</v>
      </c>
      <c r="AV844" s="7">
        <v>46</v>
      </c>
      <c r="AW844" s="7">
        <v>47</v>
      </c>
      <c r="AX844" s="7">
        <v>48</v>
      </c>
      <c r="AY844" s="7">
        <v>49</v>
      </c>
      <c r="AZ844" s="7">
        <v>50</v>
      </c>
      <c r="BA844" s="7">
        <v>51</v>
      </c>
      <c r="BB844" s="7">
        <v>52</v>
      </c>
      <c r="BC844" s="7">
        <v>53</v>
      </c>
      <c r="BD844" s="7">
        <v>54</v>
      </c>
      <c r="BE844" s="7">
        <v>55</v>
      </c>
      <c r="BF844" s="7">
        <v>56</v>
      </c>
      <c r="BG844" s="7">
        <v>57</v>
      </c>
      <c r="BH844" s="7">
        <v>58</v>
      </c>
      <c r="BI844" s="7">
        <v>59</v>
      </c>
      <c r="BJ844" s="7">
        <v>60</v>
      </c>
      <c r="BK844" s="7">
        <v>61</v>
      </c>
      <c r="BL844" s="7">
        <v>62</v>
      </c>
      <c r="BM844" s="7">
        <v>63</v>
      </c>
      <c r="BN844" s="7">
        <v>64</v>
      </c>
      <c r="BO844" s="7">
        <v>65</v>
      </c>
      <c r="BP844" s="7">
        <v>66</v>
      </c>
      <c r="BQ844" s="7">
        <v>67</v>
      </c>
      <c r="BR844" s="7">
        <v>68</v>
      </c>
      <c r="BS844" s="7">
        <v>69</v>
      </c>
      <c r="BT844" s="7">
        <v>70</v>
      </c>
      <c r="BU844" s="7">
        <v>71</v>
      </c>
      <c r="BV844" s="7">
        <v>72</v>
      </c>
      <c r="BW844" s="7">
        <v>73</v>
      </c>
      <c r="BX844" s="7">
        <v>74</v>
      </c>
      <c r="BY844" s="7">
        <v>75</v>
      </c>
      <c r="BZ844" s="7">
        <v>76</v>
      </c>
      <c r="CA844" s="7">
        <v>77</v>
      </c>
    </row>
    <row r="845" spans="2:79" x14ac:dyDescent="0.55000000000000004">
      <c r="B845" s="13" t="s">
        <v>713</v>
      </c>
      <c r="C845" s="7">
        <v>0.3</v>
      </c>
      <c r="D845" s="77">
        <v>0.3</v>
      </c>
      <c r="E845" s="77">
        <v>0.3</v>
      </c>
      <c r="F845" s="77">
        <v>0.3</v>
      </c>
      <c r="G845" s="77">
        <v>0.3</v>
      </c>
      <c r="H845" s="77">
        <v>0.3</v>
      </c>
      <c r="I845" s="77">
        <v>0.3</v>
      </c>
      <c r="J845" s="77">
        <v>0.3</v>
      </c>
      <c r="K845" s="77">
        <v>0.3</v>
      </c>
      <c r="L845" s="77">
        <v>0.3</v>
      </c>
      <c r="M845" s="7">
        <v>0.3</v>
      </c>
      <c r="N845" s="7">
        <v>0.3</v>
      </c>
      <c r="O845" s="7">
        <v>0.3</v>
      </c>
      <c r="P845" s="7">
        <v>0.3</v>
      </c>
      <c r="Q845" s="7">
        <v>0.3</v>
      </c>
      <c r="R845" s="7">
        <v>0.3</v>
      </c>
      <c r="S845" s="7">
        <v>0.3</v>
      </c>
      <c r="T845" s="7">
        <v>0.3</v>
      </c>
      <c r="U845" s="7">
        <v>0.3</v>
      </c>
      <c r="V845" s="7">
        <v>0.3</v>
      </c>
      <c r="W845" s="7">
        <v>0.3</v>
      </c>
      <c r="X845" s="7">
        <v>0.3</v>
      </c>
      <c r="Y845" s="7">
        <v>0.3</v>
      </c>
      <c r="Z845" s="7">
        <v>0.3</v>
      </c>
      <c r="AA845" s="7">
        <v>0.3</v>
      </c>
      <c r="AB845" s="7">
        <v>0.3</v>
      </c>
      <c r="AC845" s="7">
        <v>0.3</v>
      </c>
      <c r="AD845" s="7">
        <v>0.3</v>
      </c>
      <c r="AE845" s="7">
        <v>0.3</v>
      </c>
      <c r="AF845" s="7">
        <v>0.3</v>
      </c>
      <c r="AG845" s="7">
        <v>0.3</v>
      </c>
      <c r="AH845" s="7">
        <v>0.3</v>
      </c>
      <c r="AI845" s="7">
        <v>0.3</v>
      </c>
      <c r="AJ845" s="7">
        <v>0.3</v>
      </c>
      <c r="AK845" s="7">
        <v>0.3</v>
      </c>
      <c r="AL845" s="7">
        <v>0.3</v>
      </c>
      <c r="AM845" s="7">
        <v>0.3</v>
      </c>
      <c r="AN845" s="7">
        <v>0.3</v>
      </c>
      <c r="AO845" s="7">
        <v>0.3</v>
      </c>
      <c r="AP845" s="7">
        <v>0.3</v>
      </c>
      <c r="AQ845" s="7">
        <v>0.3</v>
      </c>
      <c r="AR845" s="7">
        <v>0.3</v>
      </c>
      <c r="AS845" s="7">
        <v>0.3</v>
      </c>
      <c r="AT845" s="7">
        <v>0.3</v>
      </c>
      <c r="AU845" s="7">
        <v>0.3</v>
      </c>
      <c r="AV845" s="7">
        <v>0.3</v>
      </c>
      <c r="AW845" s="7">
        <v>0.3</v>
      </c>
      <c r="AX845" s="7">
        <v>0.3</v>
      </c>
      <c r="AY845" s="7">
        <v>0.3</v>
      </c>
      <c r="AZ845" s="7">
        <v>0.3</v>
      </c>
      <c r="BA845" s="7">
        <v>0.3</v>
      </c>
      <c r="BB845" s="7">
        <v>0.3</v>
      </c>
      <c r="BC845" s="7">
        <v>0.3</v>
      </c>
      <c r="BD845" s="7">
        <v>0.3</v>
      </c>
      <c r="BE845" s="7">
        <v>0.3</v>
      </c>
      <c r="BF845" s="7">
        <v>0.3</v>
      </c>
      <c r="BG845" s="7">
        <v>0.3</v>
      </c>
      <c r="BH845" s="7">
        <v>0.3</v>
      </c>
      <c r="BI845" s="7">
        <v>0.3</v>
      </c>
      <c r="BJ845" s="7">
        <v>0.3</v>
      </c>
      <c r="BK845" s="7">
        <v>0.3</v>
      </c>
      <c r="BL845" s="7">
        <v>0.3</v>
      </c>
      <c r="BM845" s="7">
        <v>0.3</v>
      </c>
      <c r="BN845" s="7">
        <v>0.3</v>
      </c>
      <c r="BO845" s="7">
        <v>0.3</v>
      </c>
      <c r="BP845" s="7">
        <v>0.3</v>
      </c>
      <c r="BQ845" s="7">
        <v>0.3</v>
      </c>
      <c r="BR845" s="7">
        <v>0.3</v>
      </c>
      <c r="BS845" s="7">
        <v>0.3</v>
      </c>
      <c r="BT845" s="7">
        <v>0.3</v>
      </c>
      <c r="BU845" s="7">
        <v>0.3</v>
      </c>
      <c r="BV845" s="7">
        <v>0.3</v>
      </c>
      <c r="BW845" s="7">
        <v>0.3</v>
      </c>
      <c r="BX845" s="7">
        <v>0.3</v>
      </c>
      <c r="BY845" s="7">
        <v>0.3</v>
      </c>
      <c r="BZ845" s="7">
        <v>0.3</v>
      </c>
      <c r="CA845" s="7">
        <v>0.3</v>
      </c>
    </row>
    <row r="846" spans="2:79" x14ac:dyDescent="0.55000000000000004">
      <c r="B846" s="21"/>
      <c r="C846" s="6" t="s">
        <v>394</v>
      </c>
      <c r="D846" s="93"/>
      <c r="E846" s="11"/>
      <c r="F846" s="11"/>
      <c r="G846" s="11"/>
      <c r="H846" s="11"/>
      <c r="I846" s="11"/>
      <c r="J846" s="11"/>
      <c r="K846" s="11"/>
      <c r="L846" s="11"/>
      <c r="M846" s="97"/>
    </row>
    <row r="847" spans="2:79" x14ac:dyDescent="0.55000000000000004">
      <c r="B847" s="74" t="s">
        <v>139</v>
      </c>
      <c r="C847" s="6" t="s">
        <v>96</v>
      </c>
      <c r="D847" s="93"/>
      <c r="E847" s="11"/>
      <c r="F847" s="11"/>
      <c r="G847" s="11"/>
      <c r="H847" s="11"/>
      <c r="I847" s="11"/>
      <c r="J847" s="11"/>
      <c r="K847" s="11"/>
      <c r="L847" s="11"/>
      <c r="M847" s="11"/>
    </row>
    <row r="848" spans="2:79" x14ac:dyDescent="0.55000000000000004">
      <c r="B848" s="13" t="s">
        <v>707</v>
      </c>
      <c r="C848" s="7" t="s">
        <v>1091</v>
      </c>
      <c r="D848" s="93"/>
      <c r="E848" s="11"/>
      <c r="F848" s="11"/>
      <c r="G848" s="11"/>
      <c r="H848" s="11"/>
      <c r="I848" s="11"/>
      <c r="J848" s="11"/>
      <c r="K848" s="11"/>
      <c r="L848" s="11"/>
      <c r="M848" s="11"/>
    </row>
    <row r="849" spans="2:13" x14ac:dyDescent="0.55000000000000004">
      <c r="B849" s="13" t="s">
        <v>708</v>
      </c>
      <c r="C849" s="7">
        <v>14</v>
      </c>
      <c r="D849" s="93"/>
      <c r="E849" s="11"/>
      <c r="F849" s="11"/>
      <c r="G849" s="11"/>
      <c r="H849" s="11"/>
      <c r="I849" s="11"/>
      <c r="J849" s="11"/>
      <c r="K849" s="11"/>
      <c r="L849" s="11"/>
      <c r="M849" s="11"/>
    </row>
    <row r="850" spans="2:13" x14ac:dyDescent="0.55000000000000004">
      <c r="B850" s="13" t="s">
        <v>709</v>
      </c>
      <c r="C850" s="7">
        <v>0.3</v>
      </c>
      <c r="D850" s="93"/>
      <c r="E850" s="11"/>
      <c r="F850" s="11"/>
      <c r="G850" s="11"/>
      <c r="H850" s="11"/>
      <c r="I850" s="11"/>
      <c r="J850" s="11"/>
      <c r="K850" s="11"/>
      <c r="L850" s="11"/>
      <c r="M850" s="11"/>
    </row>
    <row r="851" spans="2:13" x14ac:dyDescent="0.55000000000000004">
      <c r="B851" s="13" t="s">
        <v>710</v>
      </c>
      <c r="C851" s="7">
        <v>0.2</v>
      </c>
      <c r="D851" s="93"/>
      <c r="E851" s="11"/>
      <c r="F851" s="11"/>
      <c r="G851" s="11"/>
      <c r="H851" s="11"/>
      <c r="I851" s="11"/>
      <c r="J851" s="11"/>
      <c r="K851" s="11"/>
      <c r="L851" s="11"/>
      <c r="M851" s="11"/>
    </row>
    <row r="852" spans="2:13" x14ac:dyDescent="0.55000000000000004">
      <c r="B852" s="13" t="s">
        <v>711</v>
      </c>
      <c r="C852" s="7">
        <v>0.5</v>
      </c>
      <c r="D852" s="93"/>
      <c r="E852" s="11"/>
      <c r="F852" s="11"/>
      <c r="G852" s="11"/>
      <c r="H852" s="11"/>
      <c r="I852" s="11"/>
      <c r="J852" s="11"/>
      <c r="K852" s="11"/>
      <c r="L852" s="11"/>
      <c r="M852" s="11"/>
    </row>
    <row r="853" spans="2:13" x14ac:dyDescent="0.55000000000000004">
      <c r="B853" s="13" t="s">
        <v>712</v>
      </c>
      <c r="C853" s="7">
        <v>0</v>
      </c>
      <c r="D853" s="93"/>
      <c r="E853" s="11"/>
      <c r="F853" s="11"/>
      <c r="G853" s="11"/>
      <c r="H853" s="11"/>
      <c r="I853" s="11"/>
      <c r="J853" s="11"/>
      <c r="K853" s="11"/>
      <c r="L853" s="11"/>
      <c r="M853" s="11"/>
    </row>
    <row r="854" spans="2:13" x14ac:dyDescent="0.55000000000000004">
      <c r="B854" s="13" t="s">
        <v>1870</v>
      </c>
      <c r="C854" s="7">
        <v>1.0269999999999999</v>
      </c>
      <c r="D854" s="7"/>
      <c r="E854" s="6"/>
      <c r="F854" s="6"/>
      <c r="G854" s="6"/>
      <c r="H854" s="6"/>
      <c r="I854" s="6"/>
      <c r="J854" s="6"/>
      <c r="K854" s="6"/>
      <c r="L854" s="6"/>
      <c r="M854" s="6"/>
    </row>
    <row r="855" spans="2:13" x14ac:dyDescent="0.55000000000000004">
      <c r="B855" s="13" t="s">
        <v>1871</v>
      </c>
      <c r="C855" s="7">
        <v>0.6</v>
      </c>
      <c r="D855" s="7"/>
      <c r="E855" s="6"/>
      <c r="F855" s="6"/>
      <c r="G855" s="6"/>
      <c r="H855" s="6"/>
      <c r="I855" s="6"/>
      <c r="J855" s="6"/>
      <c r="K855" s="6"/>
      <c r="L855" s="6"/>
      <c r="M855" s="6"/>
    </row>
    <row r="856" spans="2:13" x14ac:dyDescent="0.55000000000000004">
      <c r="B856" s="21"/>
      <c r="C856" s="6" t="s">
        <v>394</v>
      </c>
      <c r="D856" s="93"/>
      <c r="E856" s="11"/>
      <c r="F856" s="11"/>
      <c r="G856" s="11"/>
      <c r="H856" s="11"/>
      <c r="I856" s="11"/>
      <c r="J856" s="11"/>
      <c r="K856" s="11"/>
      <c r="L856" s="11"/>
      <c r="M856" s="11"/>
    </row>
    <row r="857" spans="2:13" x14ac:dyDescent="0.55000000000000004">
      <c r="B857" s="74" t="s">
        <v>665</v>
      </c>
      <c r="C857" s="6" t="s">
        <v>1092</v>
      </c>
      <c r="D857" s="93"/>
      <c r="E857" s="11"/>
      <c r="F857" s="11"/>
      <c r="G857" s="11"/>
      <c r="H857" s="11"/>
      <c r="I857" s="11"/>
      <c r="J857" s="11"/>
      <c r="K857" s="11"/>
      <c r="L857" s="11"/>
      <c r="M857" s="11"/>
    </row>
    <row r="858" spans="2:13" x14ac:dyDescent="0.55000000000000004">
      <c r="B858" s="13" t="s">
        <v>178</v>
      </c>
      <c r="C858" s="7" t="s">
        <v>1143</v>
      </c>
      <c r="D858" s="93"/>
      <c r="E858" s="11"/>
      <c r="F858" s="11"/>
      <c r="G858" s="11"/>
      <c r="H858" s="11"/>
      <c r="I858" s="11"/>
      <c r="J858" s="11"/>
      <c r="K858" s="11"/>
      <c r="L858" s="11"/>
      <c r="M858" s="11"/>
    </row>
    <row r="859" spans="2:13" x14ac:dyDescent="0.55000000000000004">
      <c r="B859" s="13" t="s">
        <v>177</v>
      </c>
      <c r="C859" s="7" t="s">
        <v>1805</v>
      </c>
      <c r="D859" s="93"/>
      <c r="E859" s="11"/>
      <c r="F859" s="11"/>
      <c r="G859" s="11"/>
      <c r="H859" s="11"/>
      <c r="I859" s="11"/>
      <c r="J859" s="11"/>
      <c r="K859" s="11"/>
      <c r="L859" s="11"/>
      <c r="M859" s="11"/>
    </row>
    <row r="860" spans="2:13" x14ac:dyDescent="0.55000000000000004">
      <c r="B860" s="13" t="s">
        <v>174</v>
      </c>
      <c r="C860" s="7" t="s">
        <v>1806</v>
      </c>
      <c r="D860" s="93"/>
      <c r="E860" s="11"/>
      <c r="F860" s="11"/>
      <c r="G860" s="11"/>
      <c r="H860" s="11"/>
      <c r="I860" s="11"/>
      <c r="J860" s="11"/>
      <c r="K860" s="11"/>
      <c r="L860" s="11"/>
      <c r="M860" s="11"/>
    </row>
    <row r="861" spans="2:13" x14ac:dyDescent="0.55000000000000004">
      <c r="B861" s="13" t="s">
        <v>175</v>
      </c>
      <c r="C861" s="7" t="s">
        <v>1807</v>
      </c>
      <c r="D861" s="93"/>
      <c r="E861" s="11"/>
      <c r="F861" s="11"/>
      <c r="G861" s="11"/>
      <c r="H861" s="11"/>
      <c r="I861" s="11"/>
      <c r="J861" s="11"/>
      <c r="K861" s="11"/>
      <c r="L861" s="11"/>
      <c r="M861" s="11"/>
    </row>
    <row r="862" spans="2:13" x14ac:dyDescent="0.55000000000000004">
      <c r="B862" s="13" t="s">
        <v>664</v>
      </c>
      <c r="C862" s="7" t="s">
        <v>1814</v>
      </c>
      <c r="D862" s="93"/>
      <c r="E862" s="11"/>
      <c r="F862" s="11"/>
      <c r="G862" s="11"/>
      <c r="H862" s="11"/>
      <c r="I862" s="11"/>
      <c r="J862" s="11"/>
      <c r="K862" s="11"/>
      <c r="L862" s="11"/>
      <c r="M862" s="11"/>
    </row>
    <row r="863" spans="2:13" x14ac:dyDescent="0.55000000000000004">
      <c r="B863" s="21"/>
      <c r="C863" s="6" t="s">
        <v>394</v>
      </c>
      <c r="D863" s="93"/>
      <c r="E863" s="11"/>
      <c r="F863" s="11"/>
      <c r="G863" s="11"/>
      <c r="H863" s="11"/>
      <c r="I863" s="11"/>
      <c r="J863" s="11"/>
      <c r="K863" s="11"/>
      <c r="L863" s="11"/>
      <c r="M863" s="11"/>
    </row>
    <row r="864" spans="2:13" x14ac:dyDescent="0.55000000000000004">
      <c r="B864" s="74" t="s">
        <v>142</v>
      </c>
      <c r="C864" s="6" t="s">
        <v>96</v>
      </c>
      <c r="D864" s="93"/>
      <c r="E864" s="11"/>
      <c r="F864" s="11"/>
      <c r="G864" s="11"/>
      <c r="H864" s="11"/>
      <c r="I864" s="11"/>
      <c r="J864" s="11"/>
      <c r="K864" s="11"/>
      <c r="L864" s="11"/>
      <c r="M864" s="11"/>
    </row>
    <row r="865" spans="1:56" x14ac:dyDescent="0.55000000000000004">
      <c r="A865" s="31" t="s">
        <v>1204</v>
      </c>
      <c r="B865" s="13" t="s">
        <v>127</v>
      </c>
      <c r="C865" s="7" t="s">
        <v>1808</v>
      </c>
      <c r="D865" s="93"/>
      <c r="E865" s="11"/>
      <c r="F865" s="11"/>
      <c r="G865" s="11"/>
      <c r="H865" s="11"/>
      <c r="I865" s="11"/>
      <c r="J865" s="11"/>
      <c r="K865" s="11"/>
      <c r="L865" s="11"/>
      <c r="M865" s="11"/>
    </row>
    <row r="866" spans="1:56" x14ac:dyDescent="0.55000000000000004">
      <c r="B866" s="13" t="s">
        <v>1194</v>
      </c>
      <c r="C866" s="7" t="s">
        <v>1809</v>
      </c>
      <c r="D866" s="93"/>
      <c r="E866" s="11"/>
      <c r="F866" s="11"/>
      <c r="G866" s="11"/>
      <c r="H866" s="11"/>
      <c r="I866" s="11"/>
      <c r="J866" s="11"/>
      <c r="K866" s="11"/>
      <c r="L866" s="11"/>
      <c r="M866" s="11"/>
    </row>
    <row r="867" spans="1:56" x14ac:dyDescent="0.55000000000000004">
      <c r="B867" s="13" t="s">
        <v>128</v>
      </c>
      <c r="C867" s="7" t="s">
        <v>1810</v>
      </c>
      <c r="D867" s="93"/>
      <c r="E867" s="11"/>
      <c r="F867" s="11"/>
      <c r="G867" s="11"/>
      <c r="H867" s="11"/>
      <c r="I867" s="11"/>
      <c r="J867" s="11"/>
      <c r="K867" s="11"/>
      <c r="L867" s="11"/>
      <c r="M867" s="11"/>
    </row>
    <row r="868" spans="1:56" x14ac:dyDescent="0.55000000000000004">
      <c r="B868" s="13" t="s">
        <v>1201</v>
      </c>
      <c r="C868" s="7" t="s">
        <v>1202</v>
      </c>
      <c r="D868" s="93"/>
      <c r="E868" s="11"/>
      <c r="F868" s="11"/>
      <c r="G868" s="11"/>
      <c r="H868" s="11"/>
      <c r="I868" s="11"/>
      <c r="J868" s="11"/>
      <c r="K868" s="11"/>
      <c r="L868" s="11"/>
      <c r="M868" s="11"/>
      <c r="AQ868" s="6"/>
      <c r="AR868" s="6"/>
      <c r="AS868" s="6"/>
      <c r="AT868" s="6"/>
      <c r="AU868" s="6"/>
      <c r="AV868" s="6"/>
      <c r="AW868" s="6"/>
      <c r="AX868" s="6"/>
      <c r="AY868" s="6"/>
      <c r="AZ868" s="6"/>
      <c r="BA868" s="6"/>
      <c r="BB868" s="6"/>
      <c r="BC868" s="6"/>
      <c r="BD868" s="6"/>
    </row>
    <row r="869" spans="1:56" x14ac:dyDescent="0.55000000000000004">
      <c r="B869" s="13" t="s">
        <v>129</v>
      </c>
      <c r="C869" s="7" t="s">
        <v>1144</v>
      </c>
      <c r="D869" s="93"/>
      <c r="E869" s="11"/>
      <c r="F869" s="11"/>
      <c r="G869" s="11"/>
      <c r="H869" s="11"/>
      <c r="I869" s="11"/>
      <c r="J869" s="11"/>
      <c r="K869" s="11"/>
      <c r="L869" s="11"/>
      <c r="M869" s="11"/>
    </row>
    <row r="870" spans="1:56" x14ac:dyDescent="0.55000000000000004">
      <c r="B870" s="13" t="s">
        <v>130</v>
      </c>
      <c r="C870" s="7" t="s">
        <v>1203</v>
      </c>
      <c r="D870" s="93"/>
      <c r="E870" s="11"/>
      <c r="F870" s="11"/>
      <c r="G870" s="11"/>
      <c r="H870" s="11"/>
      <c r="I870" s="11"/>
      <c r="J870" s="11"/>
      <c r="K870" s="11"/>
      <c r="L870" s="11"/>
      <c r="M870" s="11"/>
    </row>
    <row r="871" spans="1:56" x14ac:dyDescent="0.55000000000000004">
      <c r="A871" s="31" t="s">
        <v>1205</v>
      </c>
      <c r="B871" s="13" t="s">
        <v>131</v>
      </c>
      <c r="C871" s="7" t="s">
        <v>1815</v>
      </c>
      <c r="D871" s="93"/>
      <c r="E871" s="11"/>
      <c r="F871" s="11"/>
      <c r="G871" s="11"/>
      <c r="H871" s="11"/>
      <c r="I871" s="11"/>
      <c r="J871" s="11"/>
      <c r="K871" s="11"/>
      <c r="L871" s="11"/>
      <c r="M871" s="11"/>
    </row>
    <row r="872" spans="1:56" x14ac:dyDescent="0.55000000000000004">
      <c r="B872" s="13" t="s">
        <v>176</v>
      </c>
      <c r="C872" s="7" t="s">
        <v>1816</v>
      </c>
      <c r="D872" s="93"/>
      <c r="E872" s="11"/>
      <c r="F872" s="11"/>
      <c r="G872" s="11"/>
      <c r="H872" s="11"/>
      <c r="I872" s="11"/>
      <c r="J872" s="11"/>
      <c r="K872" s="11"/>
      <c r="L872" s="11"/>
      <c r="M872" s="11"/>
    </row>
    <row r="873" spans="1:56" x14ac:dyDescent="0.55000000000000004">
      <c r="B873" s="13" t="s">
        <v>132</v>
      </c>
      <c r="C873" s="7" t="s">
        <v>1817</v>
      </c>
      <c r="D873" s="93"/>
      <c r="E873" s="11"/>
      <c r="F873" s="11"/>
      <c r="G873" s="11"/>
      <c r="H873" s="11"/>
      <c r="I873" s="11"/>
      <c r="J873" s="11"/>
      <c r="K873" s="11"/>
      <c r="L873" s="11"/>
      <c r="M873" s="11"/>
    </row>
    <row r="874" spans="1:56" x14ac:dyDescent="0.55000000000000004">
      <c r="B874" s="13" t="s">
        <v>133</v>
      </c>
      <c r="C874" s="7" t="s">
        <v>1818</v>
      </c>
      <c r="D874" s="93"/>
      <c r="E874" s="11"/>
      <c r="F874" s="11"/>
      <c r="G874" s="11"/>
      <c r="H874" s="11"/>
      <c r="I874" s="11"/>
      <c r="J874" s="11"/>
      <c r="K874" s="11"/>
      <c r="L874" s="11"/>
      <c r="M874" s="11"/>
    </row>
    <row r="875" spans="1:56" x14ac:dyDescent="0.55000000000000004">
      <c r="B875" s="13" t="s">
        <v>134</v>
      </c>
      <c r="C875" s="7" t="s">
        <v>1819</v>
      </c>
      <c r="D875" s="93"/>
      <c r="E875" s="11"/>
      <c r="F875" s="11"/>
      <c r="G875" s="11"/>
      <c r="H875" s="11"/>
      <c r="I875" s="11"/>
      <c r="J875" s="11"/>
      <c r="K875" s="11"/>
      <c r="L875" s="11"/>
      <c r="M875" s="11"/>
      <c r="AQ875" s="93"/>
      <c r="AR875" s="11"/>
      <c r="AS875" s="11"/>
      <c r="AT875" s="11"/>
      <c r="AU875" s="11"/>
      <c r="AV875" s="11"/>
      <c r="AW875" s="11"/>
      <c r="AX875" s="11"/>
      <c r="AY875" s="11"/>
      <c r="AZ875" s="11"/>
      <c r="BA875" s="11"/>
      <c r="BB875" s="11"/>
      <c r="BC875" s="11"/>
      <c r="BD875" s="11"/>
    </row>
    <row r="876" spans="1:56" x14ac:dyDescent="0.55000000000000004">
      <c r="B876" s="21"/>
      <c r="C876" s="6" t="s">
        <v>394</v>
      </c>
      <c r="D876" s="93"/>
      <c r="E876" s="11"/>
      <c r="F876" s="11"/>
      <c r="G876" s="11"/>
      <c r="H876" s="11"/>
      <c r="I876" s="11"/>
      <c r="J876" s="11"/>
      <c r="K876" s="11"/>
      <c r="L876" s="11"/>
      <c r="M876" s="11"/>
      <c r="AQ876" s="93"/>
      <c r="AR876" s="11"/>
      <c r="AS876" s="11"/>
      <c r="AT876" s="11"/>
      <c r="AU876" s="11"/>
      <c r="AV876" s="11"/>
      <c r="AW876" s="11"/>
      <c r="AX876" s="11"/>
      <c r="AY876" s="11"/>
      <c r="AZ876" s="11"/>
      <c r="BA876" s="11"/>
      <c r="BB876" s="11"/>
      <c r="BC876" s="11"/>
      <c r="BD876" s="11"/>
    </row>
    <row r="877" spans="1:56" x14ac:dyDescent="0.55000000000000004">
      <c r="B877" s="74" t="s">
        <v>143</v>
      </c>
      <c r="C877" s="6" t="s">
        <v>29</v>
      </c>
      <c r="D877" s="93"/>
      <c r="E877" s="11"/>
      <c r="F877" s="11"/>
      <c r="G877" s="11"/>
      <c r="H877" s="11"/>
      <c r="I877" s="11"/>
      <c r="J877" s="11"/>
      <c r="K877" s="11"/>
      <c r="L877" s="11"/>
      <c r="M877" s="11"/>
    </row>
    <row r="878" spans="1:56" x14ac:dyDescent="0.55000000000000004">
      <c r="B878" s="13" t="s">
        <v>135</v>
      </c>
      <c r="C878" s="7" t="s">
        <v>1847</v>
      </c>
      <c r="D878" s="93"/>
      <c r="E878" s="11"/>
      <c r="F878" s="11"/>
      <c r="G878" s="11"/>
      <c r="H878" s="11"/>
      <c r="I878" s="11"/>
      <c r="J878" s="11"/>
      <c r="K878" s="11"/>
      <c r="L878" s="11"/>
      <c r="M878" s="11"/>
    </row>
    <row r="879" spans="1:56" x14ac:dyDescent="0.55000000000000004">
      <c r="B879" s="13" t="s">
        <v>136</v>
      </c>
      <c r="C879" s="7" t="s">
        <v>1811</v>
      </c>
      <c r="D879" s="93"/>
      <c r="E879" s="11"/>
      <c r="F879" s="11"/>
      <c r="G879" s="11"/>
      <c r="H879" s="11"/>
      <c r="I879" s="11"/>
      <c r="J879" s="11"/>
      <c r="K879" s="11"/>
      <c r="L879" s="11"/>
      <c r="M879" s="11"/>
    </row>
    <row r="880" spans="1:56" x14ac:dyDescent="0.55000000000000004">
      <c r="B880" s="13" t="s">
        <v>137</v>
      </c>
      <c r="C880" s="7" t="s">
        <v>1812</v>
      </c>
      <c r="D880" s="93"/>
      <c r="E880" s="11"/>
      <c r="F880" s="11"/>
      <c r="G880" s="11"/>
      <c r="H880" s="11"/>
      <c r="I880" s="11"/>
      <c r="J880" s="11"/>
      <c r="K880" s="11"/>
      <c r="L880" s="11"/>
      <c r="M880" s="11"/>
    </row>
    <row r="881" spans="1:56" x14ac:dyDescent="0.55000000000000004">
      <c r="B881" s="13" t="s">
        <v>138</v>
      </c>
      <c r="C881" s="7" t="s">
        <v>1676</v>
      </c>
      <c r="D881" s="93"/>
      <c r="E881" s="11"/>
      <c r="F881" s="11"/>
      <c r="G881" s="11"/>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row>
    <row r="882" spans="1:56" x14ac:dyDescent="0.55000000000000004">
      <c r="B882" s="13" t="s">
        <v>457</v>
      </c>
      <c r="C882" s="7" t="s">
        <v>1813</v>
      </c>
      <c r="D882" s="93"/>
      <c r="E882" s="11"/>
      <c r="F882" s="11"/>
      <c r="G882" s="11"/>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row>
    <row r="883" spans="1:56" x14ac:dyDescent="0.55000000000000004">
      <c r="B883" s="13" t="s">
        <v>458</v>
      </c>
      <c r="C883" s="7" t="s">
        <v>1811</v>
      </c>
      <c r="D883" s="93"/>
      <c r="E883" s="11"/>
      <c r="F883" s="11"/>
      <c r="G883" s="11"/>
      <c r="H883" s="11"/>
      <c r="I883" s="11"/>
      <c r="J883" s="11"/>
      <c r="K883" s="11"/>
      <c r="L883" s="11"/>
      <c r="M883" s="11"/>
    </row>
    <row r="884" spans="1:56" x14ac:dyDescent="0.55000000000000004">
      <c r="B884" s="13" t="s">
        <v>459</v>
      </c>
      <c r="C884" s="7" t="s">
        <v>1812</v>
      </c>
      <c r="D884" s="93"/>
      <c r="E884" s="11"/>
      <c r="F884" s="11"/>
      <c r="G884" s="11"/>
      <c r="H884" s="11"/>
      <c r="I884" s="11"/>
      <c r="J884" s="11"/>
      <c r="K884" s="11"/>
      <c r="L884" s="11"/>
      <c r="M884" s="11"/>
    </row>
    <row r="885" spans="1:56" x14ac:dyDescent="0.55000000000000004">
      <c r="B885" s="13" t="s">
        <v>460</v>
      </c>
      <c r="C885" s="7" t="s">
        <v>1145</v>
      </c>
      <c r="D885" s="93"/>
      <c r="E885" s="11"/>
      <c r="F885" s="11"/>
      <c r="G885" s="11"/>
      <c r="H885" s="11"/>
      <c r="I885" s="11"/>
      <c r="J885" s="11"/>
      <c r="K885" s="11"/>
      <c r="L885" s="11"/>
      <c r="M885" s="11"/>
    </row>
    <row r="886" spans="1:56" x14ac:dyDescent="0.55000000000000004">
      <c r="B886" s="13" t="s">
        <v>461</v>
      </c>
      <c r="C886" s="7" t="s">
        <v>1146</v>
      </c>
      <c r="D886" s="93"/>
      <c r="E886" s="11"/>
      <c r="F886" s="11"/>
      <c r="G886" s="11"/>
      <c r="H886" s="11"/>
      <c r="I886" s="11"/>
      <c r="J886" s="11"/>
      <c r="K886" s="11"/>
      <c r="L886" s="11"/>
      <c r="M886" s="11"/>
    </row>
    <row r="887" spans="1:56" x14ac:dyDescent="0.55000000000000004">
      <c r="B887" s="13" t="s">
        <v>462</v>
      </c>
      <c r="C887" s="7" t="s">
        <v>1147</v>
      </c>
      <c r="D887" s="93"/>
      <c r="E887" s="11"/>
      <c r="F887" s="11"/>
      <c r="G887" s="11"/>
      <c r="H887" s="11"/>
      <c r="I887" s="11"/>
      <c r="J887" s="11"/>
      <c r="K887" s="11"/>
      <c r="L887" s="11"/>
      <c r="M887" s="11"/>
    </row>
    <row r="888" spans="1:56" x14ac:dyDescent="0.55000000000000004">
      <c r="B888" s="13" t="s">
        <v>463</v>
      </c>
      <c r="C888" s="7" t="s">
        <v>1148</v>
      </c>
      <c r="D888" s="93"/>
      <c r="E888" s="11"/>
      <c r="F888" s="11"/>
      <c r="G888" s="11"/>
      <c r="H888" s="11"/>
      <c r="I888" s="11"/>
      <c r="J888" s="11"/>
      <c r="K888" s="11"/>
      <c r="L888" s="11"/>
      <c r="M888" s="11"/>
    </row>
    <row r="889" spans="1:56" x14ac:dyDescent="0.55000000000000004">
      <c r="B889" s="13" t="s">
        <v>464</v>
      </c>
      <c r="C889" s="7" t="s">
        <v>1149</v>
      </c>
      <c r="D889" s="93"/>
      <c r="E889" s="11"/>
      <c r="F889" s="11"/>
      <c r="G889" s="11"/>
      <c r="H889" s="11"/>
      <c r="I889" s="11"/>
      <c r="J889" s="11"/>
      <c r="K889" s="11"/>
      <c r="L889" s="11"/>
      <c r="M889" s="11"/>
    </row>
    <row r="890" spans="1:56" x14ac:dyDescent="0.55000000000000004">
      <c r="B890" s="13" t="s">
        <v>465</v>
      </c>
      <c r="C890" s="7" t="s">
        <v>1150</v>
      </c>
      <c r="D890" s="93"/>
      <c r="E890" s="11"/>
      <c r="F890" s="11"/>
      <c r="G890" s="11"/>
      <c r="H890" s="11"/>
      <c r="I890" s="11"/>
      <c r="J890" s="11"/>
      <c r="K890" s="11"/>
      <c r="L890" s="11"/>
      <c r="M890" s="11"/>
    </row>
    <row r="891" spans="1:56" x14ac:dyDescent="0.55000000000000004">
      <c r="B891" s="13" t="s">
        <v>466</v>
      </c>
      <c r="C891" s="7" t="s">
        <v>1151</v>
      </c>
      <c r="D891" s="93"/>
      <c r="E891" s="11"/>
      <c r="F891" s="11"/>
      <c r="G891" s="11"/>
      <c r="H891" s="11"/>
      <c r="I891" s="11"/>
      <c r="J891" s="11"/>
      <c r="K891" s="11"/>
      <c r="L891" s="11"/>
      <c r="M891" s="11"/>
    </row>
    <row r="892" spans="1:56" x14ac:dyDescent="0.55000000000000004">
      <c r="B892" s="13" t="s">
        <v>1195</v>
      </c>
      <c r="C892" s="7" t="s">
        <v>1152</v>
      </c>
      <c r="D892" s="93"/>
      <c r="E892" s="11"/>
      <c r="F892" s="11"/>
      <c r="G892" s="11"/>
      <c r="H892" s="11"/>
      <c r="I892" s="11"/>
      <c r="J892" s="11"/>
      <c r="K892" s="11"/>
      <c r="L892" s="11"/>
      <c r="M892" s="11"/>
    </row>
    <row r="893" spans="1:56" x14ac:dyDescent="0.55000000000000004">
      <c r="B893" s="13" t="s">
        <v>467</v>
      </c>
      <c r="C893" s="7" t="s">
        <v>1153</v>
      </c>
      <c r="D893" s="93"/>
      <c r="E893" s="11"/>
      <c r="F893" s="11"/>
      <c r="G893" s="11"/>
      <c r="H893" s="11"/>
      <c r="I893" s="11"/>
      <c r="J893" s="11"/>
      <c r="K893" s="11"/>
      <c r="L893" s="11"/>
      <c r="M893" s="11"/>
    </row>
    <row r="894" spans="1:56" x14ac:dyDescent="0.55000000000000004">
      <c r="B894" s="36" t="s">
        <v>543</v>
      </c>
      <c r="C894" s="8"/>
      <c r="D894" s="93"/>
      <c r="E894" s="11"/>
      <c r="F894" s="11"/>
      <c r="G894" s="11"/>
      <c r="H894" s="11"/>
      <c r="I894" s="11"/>
      <c r="J894" s="11"/>
      <c r="K894" s="11"/>
      <c r="L894" s="11"/>
      <c r="M894" s="11"/>
    </row>
    <row r="895" spans="1:56" x14ac:dyDescent="0.55000000000000004">
      <c r="B895" s="97"/>
      <c r="C895" s="97"/>
      <c r="D895" s="11"/>
      <c r="E895" s="11"/>
      <c r="F895" s="11"/>
      <c r="G895" s="11"/>
      <c r="H895" s="11"/>
      <c r="I895" s="11"/>
      <c r="J895" s="11"/>
      <c r="K895" s="11"/>
      <c r="L895" s="11"/>
      <c r="M895" s="11"/>
    </row>
    <row r="896" spans="1:56" x14ac:dyDescent="0.55000000000000004">
      <c r="A896" s="34"/>
      <c r="B896" s="11"/>
      <c r="C896" s="11"/>
      <c r="D896" s="11"/>
      <c r="E896" s="11"/>
      <c r="F896" s="11"/>
      <c r="G896" s="11"/>
      <c r="H896" s="11"/>
      <c r="I896" s="11"/>
      <c r="J896" s="11"/>
      <c r="K896" s="11"/>
      <c r="L896" s="11"/>
      <c r="M896" s="11"/>
    </row>
    <row r="897" spans="1:14" x14ac:dyDescent="0.55000000000000004">
      <c r="A897" s="34"/>
      <c r="B897" s="11"/>
      <c r="C897" s="11"/>
      <c r="D897" s="11"/>
      <c r="E897" s="11"/>
      <c r="F897" s="11"/>
      <c r="G897" s="11"/>
      <c r="H897" s="11"/>
      <c r="I897" s="11"/>
      <c r="J897" s="11"/>
      <c r="K897" s="11"/>
      <c r="L897" s="11"/>
      <c r="M897" s="11"/>
      <c r="N897" s="11"/>
    </row>
    <row r="898" spans="1:14" x14ac:dyDescent="0.55000000000000004">
      <c r="A898" s="34"/>
      <c r="B898" s="11"/>
      <c r="C898" s="11"/>
      <c r="D898" s="11"/>
      <c r="E898" s="11"/>
      <c r="F898" s="11"/>
      <c r="G898" s="11"/>
      <c r="H898" s="11"/>
      <c r="I898" s="11"/>
      <c r="J898" s="11"/>
      <c r="K898" s="11"/>
      <c r="L898" s="11"/>
      <c r="M898" s="11"/>
      <c r="N898" s="11"/>
    </row>
    <row r="899" spans="1:14" x14ac:dyDescent="0.55000000000000004">
      <c r="A899" s="34"/>
      <c r="B899" s="11"/>
      <c r="C899" s="11"/>
      <c r="D899" s="11"/>
      <c r="E899" s="11"/>
      <c r="F899" s="11"/>
      <c r="G899" s="11"/>
      <c r="H899" s="11"/>
      <c r="I899" s="11"/>
      <c r="J899" s="11"/>
      <c r="K899" s="11"/>
      <c r="L899" s="11"/>
      <c r="M899" s="11"/>
      <c r="N899" s="11"/>
    </row>
    <row r="900" spans="1:14" x14ac:dyDescent="0.55000000000000004">
      <c r="A900" s="34"/>
      <c r="B900" s="11"/>
      <c r="C900" s="11"/>
      <c r="D900" s="11"/>
      <c r="E900" s="11"/>
      <c r="F900" s="11"/>
      <c r="G900" s="11"/>
      <c r="H900" s="11"/>
      <c r="I900" s="11"/>
      <c r="J900" s="11"/>
      <c r="K900" s="11"/>
      <c r="L900" s="11"/>
      <c r="M900" s="11"/>
      <c r="N900" s="11"/>
    </row>
    <row r="901" spans="1:14" x14ac:dyDescent="0.55000000000000004">
      <c r="A901" s="34"/>
      <c r="B901" s="11"/>
      <c r="C901" s="11"/>
      <c r="D901" s="11"/>
      <c r="E901" s="11"/>
      <c r="F901" s="11"/>
      <c r="G901" s="11"/>
      <c r="H901" s="11"/>
      <c r="I901" s="11"/>
      <c r="J901" s="11"/>
      <c r="K901" s="11"/>
      <c r="L901" s="11"/>
      <c r="M901" s="11"/>
      <c r="N901" s="11"/>
    </row>
    <row r="902" spans="1:14" x14ac:dyDescent="0.55000000000000004">
      <c r="A902" s="34"/>
      <c r="B902" s="11"/>
      <c r="C902" s="11"/>
      <c r="D902" s="11"/>
      <c r="E902" s="11"/>
      <c r="F902" s="11"/>
      <c r="G902" s="11"/>
      <c r="H902" s="11"/>
      <c r="I902" s="11"/>
      <c r="J902" s="11"/>
      <c r="K902" s="11"/>
      <c r="L902" s="11"/>
      <c r="M902" s="11"/>
      <c r="N902" s="11"/>
    </row>
    <row r="903" spans="1:14" x14ac:dyDescent="0.55000000000000004">
      <c r="A903" s="34"/>
      <c r="B903" s="11"/>
      <c r="C903" s="11"/>
      <c r="D903" s="11"/>
      <c r="E903" s="11"/>
      <c r="F903" s="11"/>
      <c r="G903" s="11"/>
      <c r="H903" s="11"/>
      <c r="I903" s="11"/>
      <c r="J903" s="11"/>
      <c r="K903" s="11"/>
      <c r="L903" s="11"/>
      <c r="M903" s="11"/>
      <c r="N903" s="11"/>
    </row>
    <row r="904" spans="1:14" x14ac:dyDescent="0.55000000000000004">
      <c r="A904" s="34"/>
      <c r="B904" s="11"/>
      <c r="C904" s="11"/>
      <c r="D904" s="11"/>
      <c r="E904" s="11"/>
      <c r="F904" s="11"/>
      <c r="G904" s="11"/>
      <c r="H904" s="11"/>
      <c r="I904" s="11"/>
      <c r="J904" s="11"/>
      <c r="K904" s="11"/>
      <c r="L904" s="11"/>
      <c r="M904" s="11"/>
      <c r="N904" s="11"/>
    </row>
    <row r="905" spans="1:14" x14ac:dyDescent="0.55000000000000004">
      <c r="A905" s="34"/>
      <c r="B905" s="11"/>
      <c r="C905" s="11"/>
      <c r="D905" s="11"/>
      <c r="E905" s="11"/>
      <c r="F905" s="11"/>
      <c r="G905" s="11"/>
      <c r="H905" s="11"/>
      <c r="I905" s="11"/>
      <c r="J905" s="11"/>
      <c r="K905" s="11"/>
      <c r="L905" s="11"/>
      <c r="M905" s="11"/>
      <c r="N905" s="11"/>
    </row>
    <row r="906" spans="1:14" x14ac:dyDescent="0.55000000000000004">
      <c r="A906" s="34"/>
      <c r="B906" s="11"/>
      <c r="C906" s="11"/>
      <c r="D906" s="11"/>
      <c r="E906" s="11"/>
      <c r="F906" s="11"/>
      <c r="G906" s="11"/>
      <c r="H906" s="11"/>
      <c r="I906" s="11"/>
      <c r="J906" s="11"/>
      <c r="K906" s="11"/>
      <c r="L906" s="11"/>
      <c r="M906" s="11"/>
      <c r="N906" s="11"/>
    </row>
    <row r="907" spans="1:14" x14ac:dyDescent="0.55000000000000004">
      <c r="B907" s="11"/>
      <c r="C907" s="11"/>
      <c r="D907" s="11"/>
      <c r="E907" s="11"/>
      <c r="F907" s="11"/>
      <c r="G907" s="11"/>
      <c r="H907" s="11"/>
      <c r="I907" s="11"/>
      <c r="J907" s="11"/>
      <c r="K907" s="11"/>
      <c r="L907" s="11"/>
      <c r="M907" s="11"/>
      <c r="N907" s="11"/>
    </row>
    <row r="908" spans="1:14" x14ac:dyDescent="0.55000000000000004">
      <c r="B908" s="11"/>
      <c r="C908" s="11"/>
      <c r="D908" s="11"/>
      <c r="E908" s="11"/>
      <c r="F908" s="11"/>
      <c r="G908" s="11"/>
      <c r="H908" s="11"/>
      <c r="I908" s="11"/>
      <c r="J908" s="11"/>
      <c r="K908" s="11"/>
      <c r="L908" s="11"/>
      <c r="M908" s="11"/>
      <c r="N908" s="11"/>
    </row>
    <row r="909" spans="1:14" x14ac:dyDescent="0.55000000000000004">
      <c r="B909" s="11"/>
      <c r="C909" s="11"/>
      <c r="D909" s="11"/>
      <c r="E909" s="11"/>
      <c r="F909" s="11"/>
      <c r="G909" s="11"/>
      <c r="H909" s="11"/>
      <c r="I909" s="11"/>
      <c r="J909" s="11"/>
      <c r="K909" s="11"/>
      <c r="L909" s="11"/>
      <c r="M909" s="11"/>
      <c r="N909" s="11"/>
    </row>
    <row r="910" spans="1:14" x14ac:dyDescent="0.55000000000000004">
      <c r="B910" s="11"/>
      <c r="C910" s="11"/>
      <c r="D910" s="11"/>
      <c r="E910" s="11"/>
      <c r="F910" s="11"/>
      <c r="G910" s="11"/>
      <c r="H910" s="11"/>
      <c r="I910" s="11"/>
      <c r="J910" s="11"/>
      <c r="K910" s="11"/>
      <c r="L910" s="11"/>
      <c r="M910" s="11"/>
      <c r="N910" s="11"/>
    </row>
    <row r="911" spans="1:14" x14ac:dyDescent="0.55000000000000004">
      <c r="B911" s="11"/>
      <c r="C911" s="11"/>
      <c r="D911" s="11"/>
      <c r="E911" s="11"/>
      <c r="F911" s="11"/>
      <c r="G911" s="11"/>
      <c r="H911" s="11"/>
      <c r="I911" s="11"/>
      <c r="J911" s="11"/>
      <c r="K911" s="11"/>
      <c r="L911" s="11"/>
      <c r="M911" s="11"/>
      <c r="N911" s="11"/>
    </row>
    <row r="912" spans="1:14" x14ac:dyDescent="0.55000000000000004">
      <c r="B912" s="11"/>
      <c r="C912" s="11"/>
      <c r="D912" s="11"/>
      <c r="E912" s="11"/>
      <c r="F912" s="11"/>
      <c r="G912" s="11"/>
      <c r="H912" s="11"/>
      <c r="I912" s="11"/>
      <c r="J912" s="11"/>
      <c r="K912" s="11"/>
      <c r="L912" s="11"/>
      <c r="M912" s="11"/>
      <c r="N912" s="11"/>
    </row>
    <row r="913" spans="1:42" x14ac:dyDescent="0.55000000000000004">
      <c r="B913" s="11"/>
      <c r="C913" s="11"/>
      <c r="D913" s="11"/>
      <c r="E913" s="11"/>
      <c r="F913" s="11"/>
      <c r="G913" s="11"/>
      <c r="H913" s="11"/>
      <c r="I913" s="11"/>
      <c r="J913" s="11"/>
      <c r="K913" s="11"/>
      <c r="L913" s="11"/>
      <c r="M913" s="11"/>
      <c r="N913" s="11"/>
    </row>
    <row r="914" spans="1:42" x14ac:dyDescent="0.55000000000000004">
      <c r="B914" s="11"/>
      <c r="C914" s="11"/>
      <c r="D914" s="11"/>
      <c r="E914" s="11"/>
      <c r="F914" s="11"/>
      <c r="G914" s="11"/>
      <c r="H914" s="11"/>
      <c r="I914" s="11"/>
      <c r="J914" s="11"/>
      <c r="K914" s="11"/>
      <c r="L914" s="11"/>
      <c r="M914" s="11"/>
      <c r="N914" s="11"/>
    </row>
    <row r="915" spans="1:42" x14ac:dyDescent="0.55000000000000004">
      <c r="B915" s="11"/>
      <c r="C915" s="11"/>
      <c r="D915" s="11"/>
      <c r="E915" s="11"/>
      <c r="F915" s="11"/>
      <c r="G915" s="11"/>
      <c r="H915" s="11"/>
      <c r="I915" s="11"/>
      <c r="J915" s="11"/>
      <c r="K915" s="11"/>
      <c r="L915" s="11"/>
      <c r="M915" s="11"/>
      <c r="N915" s="11"/>
    </row>
    <row r="916" spans="1:42" x14ac:dyDescent="0.55000000000000004">
      <c r="B916" s="11"/>
      <c r="C916" s="11"/>
      <c r="D916" s="11"/>
      <c r="E916" s="11"/>
      <c r="F916" s="11"/>
      <c r="G916" s="11"/>
      <c r="H916" s="11"/>
      <c r="I916" s="11"/>
      <c r="J916" s="11"/>
      <c r="K916" s="11"/>
      <c r="L916" s="11"/>
      <c r="M916" s="11"/>
      <c r="N916" s="11"/>
    </row>
    <row r="917" spans="1:42" x14ac:dyDescent="0.55000000000000004">
      <c r="B917" s="11"/>
      <c r="C917" s="11"/>
      <c r="D917" s="11"/>
      <c r="E917" s="11"/>
      <c r="F917" s="11"/>
      <c r="G917" s="11"/>
      <c r="H917" s="11"/>
      <c r="I917" s="11"/>
      <c r="J917" s="11"/>
      <c r="K917" s="11"/>
      <c r="L917" s="11"/>
      <c r="M917" s="11"/>
      <c r="N917" s="11"/>
    </row>
    <row r="918" spans="1:42" x14ac:dyDescent="0.55000000000000004">
      <c r="B918" s="11"/>
      <c r="C918" s="11"/>
      <c r="D918" s="11"/>
      <c r="E918" s="11"/>
      <c r="F918" s="11"/>
      <c r="G918" s="11"/>
      <c r="H918" s="11"/>
      <c r="I918" s="11"/>
      <c r="J918" s="11"/>
      <c r="K918" s="11"/>
      <c r="L918" s="11"/>
      <c r="M918" s="11"/>
      <c r="N918" s="11"/>
    </row>
    <row r="919" spans="1:42" x14ac:dyDescent="0.55000000000000004">
      <c r="B919" s="11"/>
      <c r="C919" s="11"/>
      <c r="D919" s="11"/>
      <c r="E919" s="11"/>
      <c r="F919" s="11"/>
      <c r="G919" s="11"/>
      <c r="H919" s="11"/>
      <c r="I919" s="11"/>
      <c r="J919" s="11"/>
      <c r="K919" s="11"/>
      <c r="L919" s="11"/>
      <c r="M919" s="11"/>
      <c r="N919" s="11"/>
    </row>
    <row r="920" spans="1:42" x14ac:dyDescent="0.55000000000000004">
      <c r="B920" s="11"/>
      <c r="C920" s="11"/>
      <c r="D920" s="11"/>
      <c r="E920" s="11"/>
      <c r="F920" s="11"/>
      <c r="G920" s="11"/>
      <c r="H920" s="11"/>
      <c r="I920" s="11"/>
      <c r="J920" s="11"/>
      <c r="K920" s="11"/>
      <c r="L920" s="11"/>
      <c r="M920" s="11"/>
      <c r="N920" s="11"/>
    </row>
    <row r="921" spans="1:42" x14ac:dyDescent="0.55000000000000004">
      <c r="B921" s="11"/>
      <c r="C921" s="11"/>
      <c r="D921" s="11"/>
      <c r="E921" s="11"/>
      <c r="F921" s="11"/>
      <c r="G921" s="11"/>
      <c r="H921" s="11"/>
      <c r="I921" s="11"/>
      <c r="J921" s="11"/>
      <c r="K921" s="11"/>
      <c r="L921" s="11"/>
      <c r="M921" s="11"/>
      <c r="N921" s="11"/>
    </row>
    <row r="922" spans="1:42" x14ac:dyDescent="0.55000000000000004">
      <c r="B922" s="11"/>
      <c r="C922" s="11"/>
      <c r="D922" s="11"/>
      <c r="E922" s="11"/>
      <c r="F922" s="11"/>
      <c r="G922" s="11"/>
      <c r="H922" s="11"/>
      <c r="I922" s="11"/>
      <c r="J922" s="11"/>
      <c r="K922" s="11"/>
      <c r="L922" s="11"/>
      <c r="M922" s="11"/>
      <c r="N922" s="11"/>
    </row>
    <row r="923" spans="1:42" x14ac:dyDescent="0.55000000000000004">
      <c r="B923" s="11"/>
      <c r="C923" s="11"/>
      <c r="D923" s="11"/>
      <c r="E923" s="11"/>
      <c r="F923" s="11"/>
      <c r="G923" s="11"/>
      <c r="H923" s="11"/>
      <c r="I923" s="11"/>
      <c r="J923" s="11"/>
      <c r="K923" s="11"/>
      <c r="L923" s="11"/>
      <c r="M923" s="11"/>
      <c r="N923" s="11"/>
    </row>
    <row r="924" spans="1:42" x14ac:dyDescent="0.55000000000000004">
      <c r="B924" s="11"/>
      <c r="C924" s="11"/>
      <c r="D924" s="11"/>
      <c r="E924" s="11"/>
      <c r="F924" s="11"/>
      <c r="G924" s="11"/>
      <c r="H924" s="11"/>
      <c r="I924" s="11"/>
      <c r="J924" s="11"/>
      <c r="K924" s="11"/>
      <c r="L924" s="11"/>
      <c r="M924" s="11"/>
      <c r="N924" s="11"/>
    </row>
    <row r="925" spans="1:42" x14ac:dyDescent="0.55000000000000004">
      <c r="B925" s="11"/>
      <c r="C925" s="11"/>
      <c r="D925" s="11"/>
      <c r="E925" s="11"/>
      <c r="F925" s="11"/>
      <c r="G925" s="11"/>
      <c r="H925" s="11"/>
      <c r="I925" s="11"/>
      <c r="J925" s="11"/>
      <c r="K925" s="11"/>
      <c r="L925" s="11"/>
      <c r="M925" s="11"/>
      <c r="N925" s="11"/>
    </row>
    <row r="926" spans="1:42" x14ac:dyDescent="0.55000000000000004">
      <c r="B926" s="11"/>
      <c r="C926" s="11"/>
      <c r="D926" s="11"/>
      <c r="E926" s="11"/>
      <c r="F926" s="11"/>
      <c r="G926" s="11"/>
      <c r="H926" s="11"/>
      <c r="I926" s="11"/>
      <c r="J926" s="11"/>
      <c r="K926" s="11"/>
      <c r="L926" s="11"/>
      <c r="M926" s="11"/>
      <c r="N926" s="11"/>
    </row>
    <row r="927" spans="1:42" s="2" customFormat="1" x14ac:dyDescent="0.55000000000000004">
      <c r="A927" s="30"/>
      <c r="B927" s="11"/>
      <c r="C927" s="11"/>
      <c r="D927" s="11"/>
      <c r="E927" s="11"/>
      <c r="F927" s="11"/>
      <c r="G927" s="11"/>
      <c r="H927" s="11"/>
      <c r="I927" s="11"/>
      <c r="J927" s="11"/>
      <c r="K927" s="11"/>
      <c r="L927" s="11"/>
      <c r="M927" s="11"/>
      <c r="N927" s="11"/>
      <c r="O927"/>
      <c r="P927"/>
      <c r="Q927"/>
      <c r="R927"/>
      <c r="S927"/>
      <c r="T927"/>
      <c r="U927"/>
      <c r="V927"/>
      <c r="W927"/>
      <c r="X927"/>
      <c r="Y927"/>
      <c r="Z927"/>
      <c r="AA927"/>
      <c r="AB927"/>
      <c r="AC927"/>
      <c r="AD927"/>
      <c r="AE927"/>
      <c r="AF927"/>
      <c r="AG927"/>
      <c r="AH927"/>
      <c r="AI927"/>
      <c r="AJ927"/>
      <c r="AK927"/>
      <c r="AL927"/>
      <c r="AM927"/>
      <c r="AN927"/>
      <c r="AO927"/>
      <c r="AP927"/>
    </row>
    <row r="928" spans="1:42" s="2" customFormat="1" x14ac:dyDescent="0.55000000000000004">
      <c r="A928" s="30"/>
      <c r="B928" s="11"/>
      <c r="C928" s="11"/>
      <c r="D928" s="11"/>
      <c r="E928" s="11"/>
      <c r="F928" s="11"/>
      <c r="G928" s="11"/>
      <c r="H928" s="11"/>
      <c r="I928" s="11"/>
      <c r="J928" s="11"/>
      <c r="K928" s="11"/>
      <c r="L928" s="11"/>
      <c r="M928" s="11"/>
      <c r="N928" s="11"/>
      <c r="O928"/>
      <c r="P928"/>
      <c r="Q928"/>
      <c r="R928"/>
      <c r="S928"/>
      <c r="T928"/>
      <c r="U928"/>
      <c r="V928"/>
      <c r="W928"/>
      <c r="X928"/>
      <c r="Y928"/>
      <c r="Z928"/>
      <c r="AA928"/>
      <c r="AB928"/>
      <c r="AC928"/>
      <c r="AD928"/>
      <c r="AE928"/>
      <c r="AF928"/>
      <c r="AG928"/>
      <c r="AH928"/>
      <c r="AI928"/>
      <c r="AJ928"/>
      <c r="AK928"/>
      <c r="AL928"/>
      <c r="AM928"/>
      <c r="AN928"/>
      <c r="AO928"/>
      <c r="AP928"/>
    </row>
    <row r="929" spans="1:42" s="2" customFormat="1" x14ac:dyDescent="0.55000000000000004">
      <c r="A929" s="30"/>
      <c r="B929" s="11"/>
      <c r="C929" s="11"/>
      <c r="D929" s="11"/>
      <c r="E929" s="11"/>
      <c r="F929" s="11"/>
      <c r="G929" s="11"/>
      <c r="H929" s="11"/>
      <c r="I929" s="11"/>
      <c r="J929" s="11"/>
      <c r="K929" s="11"/>
      <c r="L929" s="11"/>
      <c r="M929" s="11"/>
      <c r="N929" s="11"/>
      <c r="O929"/>
      <c r="P929"/>
      <c r="Q929"/>
      <c r="R929"/>
      <c r="S929"/>
      <c r="T929"/>
      <c r="U929"/>
      <c r="V929"/>
      <c r="W929"/>
      <c r="X929"/>
      <c r="Y929"/>
      <c r="Z929"/>
      <c r="AA929"/>
      <c r="AB929"/>
      <c r="AC929"/>
      <c r="AD929"/>
      <c r="AE929"/>
      <c r="AF929"/>
      <c r="AG929"/>
      <c r="AH929"/>
      <c r="AI929"/>
      <c r="AJ929"/>
      <c r="AK929"/>
      <c r="AL929"/>
      <c r="AM929"/>
      <c r="AN929"/>
      <c r="AO929"/>
      <c r="AP929"/>
    </row>
    <row r="930" spans="1:42" s="2" customFormat="1" x14ac:dyDescent="0.55000000000000004">
      <c r="A930" s="30"/>
      <c r="B930" s="11"/>
      <c r="C930" s="11"/>
      <c r="D930" s="11"/>
      <c r="E930" s="11"/>
      <c r="F930" s="11"/>
      <c r="G930" s="11"/>
      <c r="H930" s="11"/>
      <c r="I930" s="11"/>
      <c r="J930" s="11"/>
      <c r="K930" s="11"/>
      <c r="L930" s="11"/>
      <c r="M930" s="11"/>
      <c r="N930" s="11"/>
      <c r="O930"/>
      <c r="P930"/>
      <c r="Q930"/>
      <c r="R930"/>
      <c r="S930"/>
      <c r="T930"/>
      <c r="U930"/>
      <c r="V930"/>
      <c r="W930"/>
      <c r="X930"/>
      <c r="Y930"/>
      <c r="Z930"/>
      <c r="AA930"/>
      <c r="AB930"/>
      <c r="AC930"/>
      <c r="AD930"/>
      <c r="AE930"/>
      <c r="AF930"/>
      <c r="AG930"/>
      <c r="AH930"/>
      <c r="AI930"/>
      <c r="AJ930"/>
      <c r="AK930"/>
      <c r="AL930"/>
      <c r="AM930"/>
      <c r="AN930"/>
      <c r="AO930"/>
      <c r="AP930"/>
    </row>
    <row r="931" spans="1:42" s="2" customFormat="1" x14ac:dyDescent="0.55000000000000004">
      <c r="A931" s="30"/>
      <c r="B931" s="11"/>
      <c r="C931" s="11"/>
      <c r="D931" s="11"/>
      <c r="E931" s="11"/>
      <c r="F931" s="11"/>
      <c r="G931" s="11"/>
      <c r="H931" s="11"/>
      <c r="I931" s="11"/>
      <c r="J931" s="11"/>
      <c r="K931" s="11"/>
      <c r="L931" s="11"/>
      <c r="M931" s="11"/>
      <c r="N931" s="11"/>
      <c r="O931"/>
      <c r="P931"/>
      <c r="Q931"/>
      <c r="R931"/>
      <c r="S931"/>
      <c r="T931"/>
      <c r="U931"/>
      <c r="V931"/>
      <c r="W931"/>
      <c r="X931"/>
      <c r="Y931"/>
      <c r="Z931"/>
      <c r="AA931"/>
      <c r="AB931"/>
      <c r="AC931"/>
      <c r="AD931"/>
      <c r="AE931"/>
      <c r="AF931"/>
      <c r="AG931"/>
      <c r="AH931"/>
      <c r="AI931"/>
      <c r="AJ931"/>
      <c r="AK931"/>
      <c r="AL931"/>
      <c r="AM931"/>
      <c r="AN931"/>
      <c r="AO931"/>
      <c r="AP931"/>
    </row>
    <row r="932" spans="1:42" s="2" customFormat="1" x14ac:dyDescent="0.55000000000000004">
      <c r="A932" s="30"/>
      <c r="B932" s="11"/>
      <c r="C932" s="11"/>
      <c r="D932" s="11"/>
      <c r="E932" s="11"/>
      <c r="F932" s="11"/>
      <c r="G932" s="11"/>
      <c r="H932" s="11"/>
      <c r="I932" s="11"/>
      <c r="J932" s="11"/>
      <c r="K932" s="11"/>
      <c r="L932" s="11"/>
      <c r="M932" s="11"/>
      <c r="N932" s="11"/>
      <c r="O932"/>
      <c r="P932"/>
      <c r="Q932"/>
      <c r="R932"/>
      <c r="S932"/>
      <c r="T932"/>
      <c r="U932"/>
      <c r="V932"/>
      <c r="W932"/>
      <c r="X932"/>
      <c r="Y932"/>
      <c r="Z932"/>
      <c r="AA932"/>
      <c r="AB932"/>
      <c r="AC932"/>
      <c r="AD932"/>
      <c r="AE932"/>
      <c r="AF932"/>
      <c r="AG932"/>
      <c r="AH932"/>
      <c r="AI932"/>
      <c r="AJ932"/>
      <c r="AK932"/>
      <c r="AL932"/>
      <c r="AM932"/>
      <c r="AN932"/>
      <c r="AO932"/>
      <c r="AP932"/>
    </row>
    <row r="933" spans="1:42" s="2" customFormat="1" x14ac:dyDescent="0.55000000000000004">
      <c r="A933" s="30"/>
      <c r="B933" s="11"/>
      <c r="C933" s="11"/>
      <c r="D933" s="11"/>
      <c r="E933" s="11"/>
      <c r="F933" s="11"/>
      <c r="G933" s="11"/>
      <c r="H933" s="11"/>
      <c r="I933" s="11"/>
      <c r="J933" s="11"/>
      <c r="K933" s="11"/>
      <c r="L933" s="11"/>
      <c r="M933" s="11"/>
      <c r="N933" s="11"/>
    </row>
    <row r="934" spans="1:42" s="2" customFormat="1" x14ac:dyDescent="0.55000000000000004">
      <c r="A934" s="30"/>
      <c r="B934" s="11"/>
      <c r="C934" s="11"/>
      <c r="D934" s="11"/>
      <c r="E934" s="11"/>
      <c r="F934" s="11"/>
      <c r="G934" s="11"/>
      <c r="H934" s="11"/>
      <c r="I934" s="11"/>
      <c r="J934" s="11"/>
      <c r="K934" s="11"/>
      <c r="L934" s="11"/>
      <c r="M934" s="11"/>
      <c r="N934" s="11"/>
    </row>
    <row r="935" spans="1:42" s="2" customFormat="1" x14ac:dyDescent="0.55000000000000004">
      <c r="A935" s="30"/>
      <c r="B935" s="11"/>
      <c r="C935" s="11"/>
      <c r="D935" s="11"/>
      <c r="E935" s="11"/>
      <c r="F935" s="11"/>
      <c r="G935" s="11"/>
      <c r="H935" s="11"/>
      <c r="I935" s="11"/>
      <c r="J935" s="11"/>
      <c r="K935" s="11"/>
      <c r="L935" s="11"/>
      <c r="M935" s="11"/>
      <c r="N935" s="11"/>
    </row>
    <row r="936" spans="1:42" s="2" customFormat="1" x14ac:dyDescent="0.55000000000000004">
      <c r="A936" s="30"/>
      <c r="B936" s="11"/>
      <c r="C936" s="11"/>
      <c r="D936" s="11"/>
      <c r="E936" s="11"/>
      <c r="F936" s="11"/>
      <c r="G936" s="11"/>
      <c r="H936" s="11"/>
      <c r="I936" s="11"/>
      <c r="J936" s="11"/>
      <c r="K936" s="11"/>
      <c r="L936" s="11"/>
      <c r="M936" s="11"/>
      <c r="N936" s="11"/>
    </row>
    <row r="937" spans="1:42" s="2" customFormat="1" x14ac:dyDescent="0.55000000000000004">
      <c r="A937" s="30"/>
    </row>
    <row r="938" spans="1:42" x14ac:dyDescent="0.55000000000000004">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x14ac:dyDescent="0.55000000000000004">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x14ac:dyDescent="0.55000000000000004">
      <c r="B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x14ac:dyDescent="0.55000000000000004">
      <c r="B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x14ac:dyDescent="0.55000000000000004">
      <c r="B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x14ac:dyDescent="0.55000000000000004">
      <c r="B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x14ac:dyDescent="0.55000000000000004">
      <c r="B944" s="2"/>
    </row>
    <row r="945" spans="2:2" x14ac:dyDescent="0.55000000000000004">
      <c r="B945" s="2"/>
    </row>
    <row r="946" spans="2:2" x14ac:dyDescent="0.55000000000000004">
      <c r="B946" s="2"/>
    </row>
    <row r="947" spans="2:2" x14ac:dyDescent="0.55000000000000004">
      <c r="B947" s="2"/>
    </row>
    <row r="948" spans="2:2" x14ac:dyDescent="0.55000000000000004">
      <c r="B948" s="2"/>
    </row>
    <row r="949" spans="2:2" x14ac:dyDescent="0.55000000000000004">
      <c r="B949" s="2"/>
    </row>
    <row r="950" spans="2:2" x14ac:dyDescent="0.55000000000000004">
      <c r="B950" s="2"/>
    </row>
    <row r="951" spans="2:2" x14ac:dyDescent="0.55000000000000004">
      <c r="B951" s="2"/>
    </row>
    <row r="952" spans="2:2" x14ac:dyDescent="0.55000000000000004">
      <c r="B952" s="2"/>
    </row>
    <row r="953" spans="2:2" x14ac:dyDescent="0.55000000000000004">
      <c r="B953" s="2"/>
    </row>
    <row r="954" spans="2:2" x14ac:dyDescent="0.55000000000000004">
      <c r="B954" s="2"/>
    </row>
    <row r="955" spans="2:2" x14ac:dyDescent="0.55000000000000004">
      <c r="B955" s="2"/>
    </row>
    <row r="956" spans="2:2" x14ac:dyDescent="0.55000000000000004">
      <c r="B956" s="2"/>
    </row>
    <row r="957" spans="2:2" x14ac:dyDescent="0.55000000000000004">
      <c r="B957" s="2"/>
    </row>
    <row r="958" spans="2:2" x14ac:dyDescent="0.55000000000000004">
      <c r="B958" s="2"/>
    </row>
    <row r="959" spans="2:2" x14ac:dyDescent="0.55000000000000004">
      <c r="B959" s="2"/>
    </row>
    <row r="960" spans="2:2" x14ac:dyDescent="0.55000000000000004">
      <c r="B960" s="2"/>
    </row>
    <row r="961" spans="2:2" x14ac:dyDescent="0.55000000000000004">
      <c r="B961" s="2"/>
    </row>
    <row r="962" spans="2:2" x14ac:dyDescent="0.55000000000000004">
      <c r="B962" s="2"/>
    </row>
    <row r="963" spans="2:2" x14ac:dyDescent="0.55000000000000004">
      <c r="B963" s="2"/>
    </row>
    <row r="964" spans="2:2" x14ac:dyDescent="0.55000000000000004">
      <c r="B964" s="2"/>
    </row>
    <row r="965" spans="2:2" x14ac:dyDescent="0.55000000000000004">
      <c r="B965" s="2"/>
    </row>
    <row r="966" spans="2:2" x14ac:dyDescent="0.55000000000000004">
      <c r="B966" s="2"/>
    </row>
    <row r="967" spans="2:2" x14ac:dyDescent="0.55000000000000004">
      <c r="B967" s="2"/>
    </row>
    <row r="968" spans="2:2" x14ac:dyDescent="0.55000000000000004">
      <c r="B968" s="2"/>
    </row>
    <row r="969" spans="2:2" x14ac:dyDescent="0.55000000000000004">
      <c r="B969" s="2"/>
    </row>
    <row r="970" spans="2:2" x14ac:dyDescent="0.55000000000000004">
      <c r="B970" s="2"/>
    </row>
    <row r="971" spans="2:2" x14ac:dyDescent="0.55000000000000004">
      <c r="B971" s="2"/>
    </row>
    <row r="972" spans="2:2" x14ac:dyDescent="0.55000000000000004">
      <c r="B972" s="2"/>
    </row>
    <row r="973" spans="2:2" x14ac:dyDescent="0.55000000000000004">
      <c r="B973" s="2"/>
    </row>
    <row r="974" spans="2:2" x14ac:dyDescent="0.55000000000000004">
      <c r="B974" s="2"/>
    </row>
    <row r="975" spans="2:2" x14ac:dyDescent="0.55000000000000004">
      <c r="B975" s="2"/>
    </row>
    <row r="976" spans="2:2" x14ac:dyDescent="0.55000000000000004">
      <c r="B976" s="2"/>
    </row>
    <row r="977" spans="2:2" x14ac:dyDescent="0.55000000000000004">
      <c r="B977" s="2"/>
    </row>
    <row r="978" spans="2:2" x14ac:dyDescent="0.55000000000000004">
      <c r="B978" s="2"/>
    </row>
    <row r="979" spans="2:2" x14ac:dyDescent="0.55000000000000004">
      <c r="B979" s="2"/>
    </row>
    <row r="980" spans="2:2" x14ac:dyDescent="0.55000000000000004">
      <c r="B980" s="2"/>
    </row>
    <row r="981" spans="2:2" x14ac:dyDescent="0.55000000000000004">
      <c r="B981" s="2"/>
    </row>
    <row r="982" spans="2:2" x14ac:dyDescent="0.55000000000000004">
      <c r="B982" s="2"/>
    </row>
    <row r="983" spans="2:2" x14ac:dyDescent="0.55000000000000004">
      <c r="B983" s="2"/>
    </row>
    <row r="984" spans="2:2" x14ac:dyDescent="0.55000000000000004">
      <c r="B984" s="2"/>
    </row>
    <row r="985" spans="2:2" x14ac:dyDescent="0.55000000000000004">
      <c r="B985" s="2"/>
    </row>
    <row r="986" spans="2:2" x14ac:dyDescent="0.55000000000000004">
      <c r="B986" s="2"/>
    </row>
    <row r="987" spans="2:2" x14ac:dyDescent="0.55000000000000004">
      <c r="B987" s="2"/>
    </row>
    <row r="988" spans="2:2" x14ac:dyDescent="0.55000000000000004">
      <c r="B988" s="2"/>
    </row>
    <row r="989" spans="2:2" x14ac:dyDescent="0.55000000000000004">
      <c r="B989" s="2"/>
    </row>
    <row r="990" spans="2:2" x14ac:dyDescent="0.55000000000000004">
      <c r="B990" s="2"/>
    </row>
    <row r="991" spans="2:2" x14ac:dyDescent="0.55000000000000004">
      <c r="B991" s="2"/>
    </row>
    <row r="992" spans="2:2" x14ac:dyDescent="0.55000000000000004">
      <c r="B992" s="2"/>
    </row>
    <row r="993" spans="2:2" x14ac:dyDescent="0.55000000000000004">
      <c r="B993" s="2"/>
    </row>
    <row r="994" spans="2:2" x14ac:dyDescent="0.55000000000000004">
      <c r="B994" s="2"/>
    </row>
    <row r="995" spans="2:2" x14ac:dyDescent="0.55000000000000004">
      <c r="B995" s="2"/>
    </row>
    <row r="996" spans="2:2" x14ac:dyDescent="0.55000000000000004">
      <c r="B996" s="2"/>
    </row>
    <row r="997" spans="2:2" x14ac:dyDescent="0.55000000000000004">
      <c r="B997" s="2"/>
    </row>
    <row r="998" spans="2:2" x14ac:dyDescent="0.55000000000000004">
      <c r="B998" s="2"/>
    </row>
    <row r="999" spans="2:2" x14ac:dyDescent="0.55000000000000004">
      <c r="B999" s="2"/>
    </row>
    <row r="1000" spans="2:2" x14ac:dyDescent="0.55000000000000004">
      <c r="B1000" s="2"/>
    </row>
    <row r="1001" spans="2:2" x14ac:dyDescent="0.55000000000000004">
      <c r="B1001" s="2"/>
    </row>
    <row r="1002" spans="2:2" x14ac:dyDescent="0.55000000000000004">
      <c r="B1002" s="2"/>
    </row>
    <row r="1003" spans="2:2" x14ac:dyDescent="0.55000000000000004">
      <c r="B1003" s="2"/>
    </row>
    <row r="1004" spans="2:2" x14ac:dyDescent="0.55000000000000004">
      <c r="B1004" s="2"/>
    </row>
    <row r="1005" spans="2:2" x14ac:dyDescent="0.55000000000000004">
      <c r="B1005" s="2"/>
    </row>
    <row r="1006" spans="2:2" x14ac:dyDescent="0.55000000000000004">
      <c r="B1006" s="2"/>
    </row>
    <row r="1007" spans="2:2" x14ac:dyDescent="0.55000000000000004">
      <c r="B1007" s="2"/>
    </row>
    <row r="1008" spans="2:2" x14ac:dyDescent="0.55000000000000004">
      <c r="B1008" s="2"/>
    </row>
    <row r="1009" spans="2:2" x14ac:dyDescent="0.55000000000000004">
      <c r="B1009" s="2"/>
    </row>
    <row r="1010" spans="2:2" x14ac:dyDescent="0.55000000000000004">
      <c r="B1010" s="2"/>
    </row>
    <row r="1011" spans="2:2" x14ac:dyDescent="0.55000000000000004">
      <c r="B1011" s="2"/>
    </row>
    <row r="1012" spans="2:2" x14ac:dyDescent="0.55000000000000004">
      <c r="B1012" s="2"/>
    </row>
    <row r="1013" spans="2:2" x14ac:dyDescent="0.55000000000000004">
      <c r="B1013" s="2"/>
    </row>
    <row r="1014" spans="2:2" x14ac:dyDescent="0.55000000000000004">
      <c r="B1014" s="2"/>
    </row>
    <row r="1015" spans="2:2" x14ac:dyDescent="0.55000000000000004">
      <c r="B1015" s="2"/>
    </row>
    <row r="1016" spans="2:2" x14ac:dyDescent="0.55000000000000004">
      <c r="B1016" s="2"/>
    </row>
    <row r="1017" spans="2:2" x14ac:dyDescent="0.55000000000000004">
      <c r="B1017" s="2"/>
    </row>
    <row r="1018" spans="2:2" x14ac:dyDescent="0.55000000000000004">
      <c r="B1018" s="2"/>
    </row>
    <row r="1019" spans="2:2" x14ac:dyDescent="0.55000000000000004">
      <c r="B1019" s="2"/>
    </row>
    <row r="1020" spans="2:2" x14ac:dyDescent="0.55000000000000004">
      <c r="B1020" s="2"/>
    </row>
    <row r="1021" spans="2:2" x14ac:dyDescent="0.55000000000000004">
      <c r="B1021" s="2"/>
    </row>
    <row r="1022" spans="2:2" x14ac:dyDescent="0.55000000000000004">
      <c r="B1022" s="2"/>
    </row>
    <row r="1023" spans="2:2" x14ac:dyDescent="0.55000000000000004">
      <c r="B1023" s="2"/>
    </row>
    <row r="1024" spans="2:2" x14ac:dyDescent="0.55000000000000004">
      <c r="B1024" s="2"/>
    </row>
    <row r="1025" spans="2:2" x14ac:dyDescent="0.55000000000000004">
      <c r="B1025" s="2"/>
    </row>
    <row r="1026" spans="2:2" x14ac:dyDescent="0.55000000000000004">
      <c r="B1026" s="2"/>
    </row>
    <row r="1027" spans="2:2" x14ac:dyDescent="0.55000000000000004">
      <c r="B1027" s="2"/>
    </row>
    <row r="1028" spans="2:2" x14ac:dyDescent="0.55000000000000004">
      <c r="B1028" s="2"/>
    </row>
    <row r="1029" spans="2:2" x14ac:dyDescent="0.55000000000000004">
      <c r="B1029" s="2"/>
    </row>
    <row r="1030" spans="2:2" x14ac:dyDescent="0.55000000000000004">
      <c r="B1030" s="2"/>
    </row>
    <row r="1031" spans="2:2" x14ac:dyDescent="0.55000000000000004">
      <c r="B1031" s="2"/>
    </row>
    <row r="1032" spans="2:2" x14ac:dyDescent="0.55000000000000004">
      <c r="B1032" s="2"/>
    </row>
    <row r="1033" spans="2:2" x14ac:dyDescent="0.55000000000000004">
      <c r="B1033" s="2"/>
    </row>
    <row r="1034" spans="2:2" x14ac:dyDescent="0.55000000000000004">
      <c r="B1034" s="2"/>
    </row>
    <row r="1035" spans="2:2" x14ac:dyDescent="0.55000000000000004">
      <c r="B1035" s="2"/>
    </row>
    <row r="1036" spans="2:2" x14ac:dyDescent="0.55000000000000004">
      <c r="B1036" s="2"/>
    </row>
    <row r="1037" spans="2:2" x14ac:dyDescent="0.55000000000000004">
      <c r="B1037" s="2"/>
    </row>
    <row r="1038" spans="2:2" x14ac:dyDescent="0.55000000000000004">
      <c r="B1038" s="2"/>
    </row>
    <row r="1039" spans="2:2" x14ac:dyDescent="0.55000000000000004">
      <c r="B1039" s="2"/>
    </row>
    <row r="1040" spans="2:2" x14ac:dyDescent="0.55000000000000004">
      <c r="B1040" s="2"/>
    </row>
    <row r="1041" spans="2:2" x14ac:dyDescent="0.55000000000000004">
      <c r="B1041" s="2"/>
    </row>
    <row r="1042" spans="2:2" x14ac:dyDescent="0.55000000000000004">
      <c r="B1042" s="2"/>
    </row>
    <row r="1043" spans="2:2" x14ac:dyDescent="0.55000000000000004">
      <c r="B1043" s="2"/>
    </row>
    <row r="1044" spans="2:2" x14ac:dyDescent="0.55000000000000004">
      <c r="B1044" s="2"/>
    </row>
    <row r="1045" spans="2:2" x14ac:dyDescent="0.55000000000000004">
      <c r="B1045" s="2"/>
    </row>
    <row r="1046" spans="2:2" x14ac:dyDescent="0.55000000000000004">
      <c r="B1046"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182880</xdr:rowOff>
                  </from>
                  <to>
                    <xdr:col>1</xdr:col>
                    <xdr:colOff>4088130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workbookViewId="0">
      <selection activeCell="H45" sqref="H45"/>
    </sheetView>
  </sheetViews>
  <sheetFormatPr defaultRowHeight="14.4" x14ac:dyDescent="0.55000000000000004"/>
  <cols>
    <col min="1" max="1" width="18.3125" customWidth="1"/>
    <col min="2" max="2" width="17.20703125" customWidth="1"/>
  </cols>
  <sheetData>
    <row r="1" spans="1:33" x14ac:dyDescent="0.55000000000000004">
      <c r="A1" t="s">
        <v>1544</v>
      </c>
      <c r="C1" t="s">
        <v>238</v>
      </c>
      <c r="H1" s="4" t="s">
        <v>239</v>
      </c>
      <c r="I1" t="s">
        <v>1872</v>
      </c>
    </row>
    <row r="2" spans="1:33" x14ac:dyDescent="0.55000000000000004">
      <c r="B2" s="21" t="s">
        <v>666</v>
      </c>
      <c r="C2" s="9" t="s">
        <v>53</v>
      </c>
      <c r="D2" s="7" t="s">
        <v>669</v>
      </c>
      <c r="H2">
        <v>1</v>
      </c>
      <c r="I2" t="s">
        <v>260</v>
      </c>
      <c r="AD2" t="s">
        <v>1750</v>
      </c>
      <c r="AF2" t="s">
        <v>1751</v>
      </c>
    </row>
    <row r="3" spans="1:33" x14ac:dyDescent="0.55000000000000004">
      <c r="B3" s="21"/>
      <c r="C3" s="9" t="s">
        <v>54</v>
      </c>
      <c r="D3" s="7" t="s">
        <v>671</v>
      </c>
      <c r="H3">
        <v>2</v>
      </c>
      <c r="I3" t="s">
        <v>1873</v>
      </c>
      <c r="S3" t="s">
        <v>1541</v>
      </c>
      <c r="AC3">
        <v>1</v>
      </c>
      <c r="AD3" t="s">
        <v>1677</v>
      </c>
      <c r="AF3" s="7" t="s">
        <v>1017</v>
      </c>
      <c r="AG3">
        <v>1</v>
      </c>
    </row>
    <row r="4" spans="1:33" x14ac:dyDescent="0.55000000000000004">
      <c r="B4" s="21"/>
      <c r="C4" s="9" t="s">
        <v>55</v>
      </c>
      <c r="D4" s="7" t="s">
        <v>673</v>
      </c>
      <c r="H4">
        <v>3</v>
      </c>
      <c r="I4" t="s">
        <v>1874</v>
      </c>
      <c r="S4" t="s">
        <v>1542</v>
      </c>
      <c r="AC4">
        <v>2</v>
      </c>
      <c r="AD4" t="s">
        <v>1678</v>
      </c>
      <c r="AF4" s="7" t="s">
        <v>1018</v>
      </c>
      <c r="AG4">
        <v>2</v>
      </c>
    </row>
    <row r="5" spans="1:33" x14ac:dyDescent="0.55000000000000004">
      <c r="B5" s="21"/>
      <c r="C5" s="9" t="s">
        <v>56</v>
      </c>
      <c r="D5" s="7" t="s">
        <v>674</v>
      </c>
      <c r="H5">
        <v>4</v>
      </c>
      <c r="I5" t="s">
        <v>1501</v>
      </c>
      <c r="S5" t="s">
        <v>1543</v>
      </c>
      <c r="AC5">
        <v>3</v>
      </c>
      <c r="AD5" t="s">
        <v>1679</v>
      </c>
      <c r="AF5" s="7" t="s">
        <v>1019</v>
      </c>
      <c r="AG5">
        <v>3</v>
      </c>
    </row>
    <row r="6" spans="1:33" x14ac:dyDescent="0.55000000000000004">
      <c r="B6" s="21"/>
      <c r="C6" s="9" t="s">
        <v>59</v>
      </c>
      <c r="D6" s="7" t="s">
        <v>675</v>
      </c>
      <c r="H6">
        <v>5</v>
      </c>
      <c r="I6" t="s">
        <v>1502</v>
      </c>
      <c r="AC6">
        <v>4</v>
      </c>
      <c r="AD6" t="s">
        <v>1680</v>
      </c>
      <c r="AF6" s="7" t="s">
        <v>1020</v>
      </c>
      <c r="AG6">
        <v>4</v>
      </c>
    </row>
    <row r="7" spans="1:33" x14ac:dyDescent="0.55000000000000004">
      <c r="B7" s="21"/>
      <c r="C7" s="9" t="s">
        <v>1512</v>
      </c>
      <c r="D7" s="7" t="s">
        <v>675</v>
      </c>
      <c r="H7">
        <v>6</v>
      </c>
      <c r="I7" t="s">
        <v>1503</v>
      </c>
      <c r="AC7">
        <v>5</v>
      </c>
      <c r="AD7" t="s">
        <v>1681</v>
      </c>
      <c r="AF7" s="7" t="s">
        <v>1021</v>
      </c>
      <c r="AG7">
        <v>5</v>
      </c>
    </row>
    <row r="8" spans="1:33" x14ac:dyDescent="0.55000000000000004">
      <c r="B8" s="21" t="s">
        <v>666</v>
      </c>
      <c r="C8" s="9" t="s">
        <v>1513</v>
      </c>
      <c r="D8" s="7" t="s">
        <v>670</v>
      </c>
      <c r="H8">
        <v>7</v>
      </c>
      <c r="I8" t="s">
        <v>1504</v>
      </c>
      <c r="AC8">
        <v>6</v>
      </c>
      <c r="AD8" t="s">
        <v>1682</v>
      </c>
      <c r="AF8" s="7" t="s">
        <v>1022</v>
      </c>
      <c r="AG8">
        <v>6</v>
      </c>
    </row>
    <row r="9" spans="1:33" x14ac:dyDescent="0.55000000000000004">
      <c r="B9" s="21" t="s">
        <v>666</v>
      </c>
      <c r="C9" s="9" t="s">
        <v>1514</v>
      </c>
      <c r="D9" s="7" t="s">
        <v>672</v>
      </c>
      <c r="H9">
        <v>8</v>
      </c>
      <c r="I9" t="s">
        <v>1505</v>
      </c>
      <c r="AC9">
        <v>7</v>
      </c>
      <c r="AD9" t="s">
        <v>1683</v>
      </c>
      <c r="AF9" s="7" t="s">
        <v>1023</v>
      </c>
      <c r="AG9">
        <v>7</v>
      </c>
    </row>
    <row r="10" spans="1:33" x14ac:dyDescent="0.55000000000000004">
      <c r="B10" s="21" t="s">
        <v>666</v>
      </c>
      <c r="C10" s="6" t="s">
        <v>1515</v>
      </c>
      <c r="D10" s="1" t="s">
        <v>1516</v>
      </c>
      <c r="H10">
        <v>9</v>
      </c>
      <c r="I10" t="s">
        <v>1506</v>
      </c>
      <c r="AC10">
        <v>8</v>
      </c>
      <c r="AD10" t="s">
        <v>1684</v>
      </c>
      <c r="AF10" s="7" t="s">
        <v>1024</v>
      </c>
      <c r="AG10">
        <v>8</v>
      </c>
    </row>
    <row r="11" spans="1:33" x14ac:dyDescent="0.55000000000000004">
      <c r="B11" s="21" t="s">
        <v>666</v>
      </c>
      <c r="C11" s="6" t="s">
        <v>1517</v>
      </c>
      <c r="D11" s="1" t="s">
        <v>1518</v>
      </c>
      <c r="H11">
        <v>10</v>
      </c>
      <c r="I11" t="s">
        <v>1507</v>
      </c>
      <c r="AC11">
        <v>9</v>
      </c>
      <c r="AD11" t="s">
        <v>1685</v>
      </c>
      <c r="AF11" s="40" t="s">
        <v>1025</v>
      </c>
      <c r="AG11">
        <v>9</v>
      </c>
    </row>
    <row r="12" spans="1:33" x14ac:dyDescent="0.55000000000000004">
      <c r="B12" s="21" t="s">
        <v>666</v>
      </c>
      <c r="C12" s="6" t="s">
        <v>1485</v>
      </c>
      <c r="D12" s="1" t="s">
        <v>1519</v>
      </c>
      <c r="H12">
        <v>11</v>
      </c>
      <c r="I12" t="s">
        <v>1508</v>
      </c>
      <c r="AC12">
        <v>10</v>
      </c>
      <c r="AD12" t="s">
        <v>1686</v>
      </c>
      <c r="AF12" s="7" t="s">
        <v>1026</v>
      </c>
      <c r="AG12">
        <v>10</v>
      </c>
    </row>
    <row r="13" spans="1:33" x14ac:dyDescent="0.55000000000000004">
      <c r="B13" s="21" t="s">
        <v>666</v>
      </c>
      <c r="C13" s="6" t="s">
        <v>1486</v>
      </c>
      <c r="D13" s="1" t="s">
        <v>1520</v>
      </c>
      <c r="H13">
        <v>12</v>
      </c>
      <c r="I13" t="s">
        <v>1509</v>
      </c>
      <c r="AC13">
        <v>11</v>
      </c>
      <c r="AD13" t="s">
        <v>1687</v>
      </c>
      <c r="AF13" s="7" t="s">
        <v>1027</v>
      </c>
      <c r="AG13">
        <v>11</v>
      </c>
    </row>
    <row r="14" spans="1:33" x14ac:dyDescent="0.55000000000000004">
      <c r="B14" s="21" t="s">
        <v>666</v>
      </c>
      <c r="C14" s="6" t="s">
        <v>1521</v>
      </c>
      <c r="D14" s="1" t="s">
        <v>1522</v>
      </c>
      <c r="H14">
        <v>13</v>
      </c>
      <c r="I14" t="s">
        <v>1510</v>
      </c>
      <c r="AC14">
        <v>12</v>
      </c>
      <c r="AD14" t="s">
        <v>1688</v>
      </c>
      <c r="AF14" s="7" t="s">
        <v>1028</v>
      </c>
      <c r="AG14">
        <v>12</v>
      </c>
    </row>
    <row r="15" spans="1:33" x14ac:dyDescent="0.55000000000000004">
      <c r="B15" s="21" t="s">
        <v>666</v>
      </c>
      <c r="C15" s="6" t="s">
        <v>1523</v>
      </c>
      <c r="D15" s="1" t="s">
        <v>1524</v>
      </c>
      <c r="H15">
        <v>14</v>
      </c>
      <c r="I15" t="s">
        <v>1511</v>
      </c>
      <c r="AC15">
        <v>13</v>
      </c>
      <c r="AD15" t="s">
        <v>1689</v>
      </c>
      <c r="AF15" s="7" t="s">
        <v>1029</v>
      </c>
      <c r="AG15">
        <v>13</v>
      </c>
    </row>
    <row r="16" spans="1:33" x14ac:dyDescent="0.55000000000000004">
      <c r="B16" s="21" t="s">
        <v>666</v>
      </c>
      <c r="C16" s="6" t="s">
        <v>1525</v>
      </c>
      <c r="D16" s="1" t="s">
        <v>1526</v>
      </c>
      <c r="H16">
        <v>15</v>
      </c>
      <c r="I16" t="s">
        <v>261</v>
      </c>
      <c r="AC16">
        <v>14</v>
      </c>
      <c r="AD16" t="s">
        <v>1690</v>
      </c>
      <c r="AF16" s="7" t="s">
        <v>1030</v>
      </c>
      <c r="AG16">
        <v>14</v>
      </c>
    </row>
    <row r="17" spans="2:33" x14ac:dyDescent="0.55000000000000004">
      <c r="B17" s="21" t="s">
        <v>666</v>
      </c>
      <c r="C17" s="6" t="s">
        <v>1527</v>
      </c>
      <c r="D17" s="1" t="s">
        <v>1528</v>
      </c>
      <c r="H17">
        <v>16</v>
      </c>
      <c r="I17" t="s">
        <v>262</v>
      </c>
      <c r="AC17">
        <v>15</v>
      </c>
      <c r="AD17" t="s">
        <v>1691</v>
      </c>
      <c r="AF17" s="7" t="s">
        <v>1031</v>
      </c>
      <c r="AG17">
        <v>15</v>
      </c>
    </row>
    <row r="18" spans="2:33" x14ac:dyDescent="0.55000000000000004">
      <c r="B18" s="21" t="s">
        <v>666</v>
      </c>
      <c r="C18" s="6" t="s">
        <v>1529</v>
      </c>
      <c r="D18" s="1" t="s">
        <v>1530</v>
      </c>
      <c r="H18">
        <v>17</v>
      </c>
      <c r="I18" t="s">
        <v>263</v>
      </c>
      <c r="AC18">
        <v>16</v>
      </c>
      <c r="AD18" t="s">
        <v>1692</v>
      </c>
      <c r="AF18" s="7" t="s">
        <v>1032</v>
      </c>
      <c r="AG18">
        <v>16</v>
      </c>
    </row>
    <row r="19" spans="2:33" x14ac:dyDescent="0.55000000000000004">
      <c r="B19" s="21" t="s">
        <v>666</v>
      </c>
      <c r="C19" s="9" t="s">
        <v>60</v>
      </c>
      <c r="D19" s="7" t="s">
        <v>676</v>
      </c>
      <c r="H19">
        <v>18</v>
      </c>
      <c r="I19" t="s">
        <v>240</v>
      </c>
      <c r="AC19">
        <v>17</v>
      </c>
      <c r="AD19" t="s">
        <v>1693</v>
      </c>
      <c r="AF19" s="7" t="s">
        <v>1033</v>
      </c>
      <c r="AG19">
        <v>17</v>
      </c>
    </row>
    <row r="20" spans="2:33" x14ac:dyDescent="0.55000000000000004">
      <c r="B20" s="21" t="s">
        <v>666</v>
      </c>
      <c r="C20" s="9" t="s">
        <v>61</v>
      </c>
      <c r="D20" s="7" t="s">
        <v>677</v>
      </c>
      <c r="H20">
        <v>19</v>
      </c>
      <c r="I20" t="s">
        <v>241</v>
      </c>
      <c r="AC20">
        <v>18</v>
      </c>
      <c r="AD20" t="s">
        <v>1694</v>
      </c>
      <c r="AF20" s="7" t="s">
        <v>1034</v>
      </c>
      <c r="AG20">
        <v>18</v>
      </c>
    </row>
    <row r="21" spans="2:33" x14ac:dyDescent="0.55000000000000004">
      <c r="B21" s="21" t="s">
        <v>666</v>
      </c>
      <c r="C21" s="9" t="s">
        <v>62</v>
      </c>
      <c r="D21" s="7" t="s">
        <v>678</v>
      </c>
      <c r="H21">
        <v>20</v>
      </c>
      <c r="I21" t="s">
        <v>242</v>
      </c>
      <c r="AC21">
        <v>19</v>
      </c>
      <c r="AD21" t="s">
        <v>1695</v>
      </c>
      <c r="AF21" s="7" t="s">
        <v>1035</v>
      </c>
      <c r="AG21">
        <v>19</v>
      </c>
    </row>
    <row r="22" spans="2:33" x14ac:dyDescent="0.55000000000000004">
      <c r="B22" s="21" t="s">
        <v>666</v>
      </c>
      <c r="C22" s="9" t="s">
        <v>63</v>
      </c>
      <c r="D22" s="7" t="s">
        <v>679</v>
      </c>
      <c r="H22">
        <v>21</v>
      </c>
      <c r="I22" t="s">
        <v>243</v>
      </c>
      <c r="AC22">
        <v>20</v>
      </c>
      <c r="AD22" t="s">
        <v>1696</v>
      </c>
      <c r="AF22" s="7" t="s">
        <v>1036</v>
      </c>
      <c r="AG22">
        <v>20</v>
      </c>
    </row>
    <row r="23" spans="2:33" x14ac:dyDescent="0.55000000000000004">
      <c r="B23" s="21" t="s">
        <v>666</v>
      </c>
      <c r="C23" s="9" t="s">
        <v>64</v>
      </c>
      <c r="D23" s="7" t="s">
        <v>680</v>
      </c>
      <c r="H23">
        <v>22</v>
      </c>
      <c r="I23" t="s">
        <v>244</v>
      </c>
      <c r="AC23">
        <v>21</v>
      </c>
      <c r="AD23" t="s">
        <v>1697</v>
      </c>
      <c r="AF23" s="7" t="s">
        <v>1037</v>
      </c>
      <c r="AG23">
        <v>21</v>
      </c>
    </row>
    <row r="24" spans="2:33" x14ac:dyDescent="0.55000000000000004">
      <c r="B24" s="21" t="s">
        <v>666</v>
      </c>
      <c r="C24" s="9" t="s">
        <v>65</v>
      </c>
      <c r="D24" s="7" t="s">
        <v>681</v>
      </c>
      <c r="H24">
        <v>23</v>
      </c>
      <c r="I24" t="s">
        <v>245</v>
      </c>
      <c r="AC24">
        <v>22</v>
      </c>
      <c r="AD24" t="s">
        <v>1698</v>
      </c>
      <c r="AF24" s="7" t="s">
        <v>1038</v>
      </c>
      <c r="AG24">
        <v>22</v>
      </c>
    </row>
    <row r="25" spans="2:33" x14ac:dyDescent="0.55000000000000004">
      <c r="B25" s="21" t="s">
        <v>666</v>
      </c>
      <c r="C25" s="9" t="s">
        <v>66</v>
      </c>
      <c r="D25" s="7" t="s">
        <v>682</v>
      </c>
      <c r="H25">
        <v>24</v>
      </c>
      <c r="I25" t="s">
        <v>264</v>
      </c>
      <c r="AC25">
        <v>23</v>
      </c>
      <c r="AD25" t="s">
        <v>1699</v>
      </c>
      <c r="AF25" s="7" t="s">
        <v>1039</v>
      </c>
      <c r="AG25">
        <v>23</v>
      </c>
    </row>
    <row r="26" spans="2:33" x14ac:dyDescent="0.55000000000000004">
      <c r="B26" s="21" t="s">
        <v>666</v>
      </c>
      <c r="C26" s="9" t="s">
        <v>67</v>
      </c>
      <c r="D26" s="7" t="s">
        <v>683</v>
      </c>
      <c r="H26">
        <v>25</v>
      </c>
      <c r="I26" t="s">
        <v>246</v>
      </c>
      <c r="AC26">
        <v>24</v>
      </c>
      <c r="AD26" t="s">
        <v>1700</v>
      </c>
      <c r="AF26" s="7" t="s">
        <v>1040</v>
      </c>
      <c r="AG26">
        <v>24</v>
      </c>
    </row>
    <row r="27" spans="2:33" x14ac:dyDescent="0.55000000000000004">
      <c r="B27" s="21" t="s">
        <v>666</v>
      </c>
      <c r="C27" s="9" t="s">
        <v>68</v>
      </c>
      <c r="D27" s="7" t="s">
        <v>684</v>
      </c>
      <c r="H27">
        <v>26</v>
      </c>
      <c r="I27" t="s">
        <v>247</v>
      </c>
      <c r="AC27">
        <v>25</v>
      </c>
      <c r="AD27" t="s">
        <v>1701</v>
      </c>
      <c r="AF27" s="7" t="s">
        <v>1041</v>
      </c>
      <c r="AG27">
        <v>25</v>
      </c>
    </row>
    <row r="28" spans="2:33" x14ac:dyDescent="0.55000000000000004">
      <c r="B28" s="21"/>
      <c r="C28" s="9" t="s">
        <v>69</v>
      </c>
      <c r="D28" s="7" t="s">
        <v>685</v>
      </c>
      <c r="H28">
        <v>27</v>
      </c>
      <c r="I28" t="s">
        <v>248</v>
      </c>
      <c r="AC28">
        <v>26</v>
      </c>
      <c r="AD28" t="s">
        <v>1702</v>
      </c>
      <c r="AF28" s="7" t="s">
        <v>1042</v>
      </c>
      <c r="AG28">
        <v>26</v>
      </c>
    </row>
    <row r="29" spans="2:33" x14ac:dyDescent="0.55000000000000004">
      <c r="B29" s="21"/>
      <c r="C29" s="9" t="s">
        <v>70</v>
      </c>
      <c r="D29" s="7" t="s">
        <v>686</v>
      </c>
      <c r="H29">
        <v>28</v>
      </c>
      <c r="I29" t="s">
        <v>249</v>
      </c>
      <c r="AC29">
        <v>27</v>
      </c>
      <c r="AD29" t="s">
        <v>1703</v>
      </c>
      <c r="AF29" s="7" t="s">
        <v>1459</v>
      </c>
      <c r="AG29">
        <v>27</v>
      </c>
    </row>
    <row r="30" spans="2:33" x14ac:dyDescent="0.55000000000000004">
      <c r="B30" s="21"/>
      <c r="C30" s="9" t="s">
        <v>71</v>
      </c>
      <c r="D30" s="7" t="s">
        <v>705</v>
      </c>
      <c r="H30">
        <v>29</v>
      </c>
      <c r="I30" t="s">
        <v>250</v>
      </c>
      <c r="AC30">
        <v>28</v>
      </c>
      <c r="AD30" t="s">
        <v>1704</v>
      </c>
      <c r="AF30" s="7" t="s">
        <v>1043</v>
      </c>
      <c r="AG30">
        <v>28</v>
      </c>
    </row>
    <row r="31" spans="2:33" x14ac:dyDescent="0.55000000000000004">
      <c r="B31" s="21"/>
      <c r="C31" s="9" t="s">
        <v>72</v>
      </c>
      <c r="D31" s="7" t="s">
        <v>704</v>
      </c>
      <c r="H31">
        <v>30</v>
      </c>
      <c r="I31" t="s">
        <v>265</v>
      </c>
      <c r="AC31">
        <v>29</v>
      </c>
      <c r="AD31" t="s">
        <v>1705</v>
      </c>
      <c r="AF31" s="7" t="s">
        <v>1044</v>
      </c>
      <c r="AG31">
        <v>29</v>
      </c>
    </row>
    <row r="32" spans="2:33" x14ac:dyDescent="0.55000000000000004">
      <c r="B32" s="21"/>
      <c r="C32" s="9" t="s">
        <v>73</v>
      </c>
      <c r="D32" s="7" t="s">
        <v>703</v>
      </c>
      <c r="H32">
        <v>31</v>
      </c>
      <c r="I32" t="s">
        <v>251</v>
      </c>
      <c r="AC32">
        <v>30</v>
      </c>
      <c r="AD32" t="s">
        <v>1706</v>
      </c>
      <c r="AF32" s="7" t="s">
        <v>1045</v>
      </c>
      <c r="AG32">
        <v>30</v>
      </c>
    </row>
    <row r="33" spans="2:33" x14ac:dyDescent="0.55000000000000004">
      <c r="B33" s="21"/>
      <c r="C33" s="9" t="s">
        <v>74</v>
      </c>
      <c r="D33" s="7" t="s">
        <v>702</v>
      </c>
      <c r="H33">
        <v>32</v>
      </c>
      <c r="I33" t="s">
        <v>252</v>
      </c>
      <c r="AC33">
        <v>31</v>
      </c>
      <c r="AD33" t="s">
        <v>1707</v>
      </c>
      <c r="AF33" s="7" t="s">
        <v>1046</v>
      </c>
      <c r="AG33">
        <v>31</v>
      </c>
    </row>
    <row r="34" spans="2:33" x14ac:dyDescent="0.55000000000000004">
      <c r="B34" s="21"/>
      <c r="C34" s="9" t="s">
        <v>75</v>
      </c>
      <c r="D34" s="7" t="s">
        <v>687</v>
      </c>
      <c r="H34">
        <v>33</v>
      </c>
      <c r="I34" t="s">
        <v>253</v>
      </c>
      <c r="AC34">
        <v>32</v>
      </c>
      <c r="AD34" t="s">
        <v>1708</v>
      </c>
      <c r="AF34" s="7" t="s">
        <v>1047</v>
      </c>
      <c r="AG34">
        <v>32</v>
      </c>
    </row>
    <row r="35" spans="2:33" x14ac:dyDescent="0.55000000000000004">
      <c r="B35" s="21"/>
      <c r="C35" s="9" t="s">
        <v>76</v>
      </c>
      <c r="D35" s="7" t="s">
        <v>688</v>
      </c>
      <c r="H35">
        <v>34</v>
      </c>
      <c r="I35" t="s">
        <v>254</v>
      </c>
      <c r="AC35">
        <v>33</v>
      </c>
      <c r="AD35" t="s">
        <v>1709</v>
      </c>
      <c r="AF35" s="7" t="s">
        <v>1048</v>
      </c>
      <c r="AG35">
        <v>33</v>
      </c>
    </row>
    <row r="36" spans="2:33" x14ac:dyDescent="0.55000000000000004">
      <c r="B36" s="21"/>
      <c r="C36" s="9" t="s">
        <v>77</v>
      </c>
      <c r="D36" s="7" t="s">
        <v>689</v>
      </c>
      <c r="H36">
        <v>35</v>
      </c>
      <c r="I36" t="s">
        <v>255</v>
      </c>
      <c r="AC36">
        <v>34</v>
      </c>
      <c r="AD36" t="s">
        <v>1710</v>
      </c>
      <c r="AF36" s="7" t="s">
        <v>1049</v>
      </c>
      <c r="AG36">
        <v>34</v>
      </c>
    </row>
    <row r="37" spans="2:33" x14ac:dyDescent="0.55000000000000004">
      <c r="B37" s="21" t="s">
        <v>666</v>
      </c>
      <c r="C37" s="9" t="s">
        <v>78</v>
      </c>
      <c r="D37" s="7" t="s">
        <v>690</v>
      </c>
      <c r="H37">
        <v>36</v>
      </c>
      <c r="I37" t="s">
        <v>256</v>
      </c>
      <c r="AC37">
        <v>35</v>
      </c>
      <c r="AD37" t="s">
        <v>1711</v>
      </c>
      <c r="AF37" s="40" t="s">
        <v>1050</v>
      </c>
      <c r="AG37">
        <v>35</v>
      </c>
    </row>
    <row r="38" spans="2:33" x14ac:dyDescent="0.55000000000000004">
      <c r="B38" s="21" t="s">
        <v>666</v>
      </c>
      <c r="C38" s="9" t="s">
        <v>79</v>
      </c>
      <c r="D38" s="7" t="s">
        <v>691</v>
      </c>
      <c r="H38">
        <v>37</v>
      </c>
      <c r="I38" t="s">
        <v>257</v>
      </c>
      <c r="AC38">
        <v>36</v>
      </c>
      <c r="AD38" t="s">
        <v>1712</v>
      </c>
      <c r="AF38" s="7" t="s">
        <v>1051</v>
      </c>
      <c r="AG38">
        <v>36</v>
      </c>
    </row>
    <row r="39" spans="2:33" x14ac:dyDescent="0.55000000000000004">
      <c r="B39" s="21" t="s">
        <v>666</v>
      </c>
      <c r="C39" s="9" t="s">
        <v>80</v>
      </c>
      <c r="D39" s="7" t="s">
        <v>692</v>
      </c>
      <c r="H39">
        <v>38</v>
      </c>
      <c r="I39" t="s">
        <v>258</v>
      </c>
      <c r="AC39">
        <v>37</v>
      </c>
      <c r="AD39" t="s">
        <v>1713</v>
      </c>
      <c r="AF39" s="7" t="s">
        <v>1052</v>
      </c>
      <c r="AG39">
        <v>37</v>
      </c>
    </row>
    <row r="40" spans="2:33" x14ac:dyDescent="0.55000000000000004">
      <c r="B40" s="21"/>
      <c r="C40" s="9" t="s">
        <v>81</v>
      </c>
      <c r="D40" s="7" t="s">
        <v>693</v>
      </c>
      <c r="H40">
        <v>39</v>
      </c>
      <c r="I40" t="s">
        <v>259</v>
      </c>
      <c r="AC40">
        <v>38</v>
      </c>
      <c r="AD40" t="s">
        <v>1714</v>
      </c>
      <c r="AF40" s="7" t="s">
        <v>1053</v>
      </c>
      <c r="AG40">
        <v>38</v>
      </c>
    </row>
    <row r="41" spans="2:33" x14ac:dyDescent="0.55000000000000004">
      <c r="B41" s="21" t="s">
        <v>666</v>
      </c>
      <c r="C41" s="9" t="s">
        <v>82</v>
      </c>
      <c r="D41" s="7" t="s">
        <v>694</v>
      </c>
      <c r="H41">
        <v>40</v>
      </c>
      <c r="I41" s="10" t="s">
        <v>1875</v>
      </c>
      <c r="AC41">
        <v>39</v>
      </c>
      <c r="AD41" t="s">
        <v>1715</v>
      </c>
      <c r="AF41" s="7" t="s">
        <v>1054</v>
      </c>
      <c r="AG41">
        <v>39</v>
      </c>
    </row>
    <row r="42" spans="2:33" x14ac:dyDescent="0.55000000000000004">
      <c r="B42" s="21" t="s">
        <v>666</v>
      </c>
      <c r="C42" s="9" t="s">
        <v>83</v>
      </c>
      <c r="D42" s="7" t="s">
        <v>695</v>
      </c>
      <c r="H42">
        <v>41</v>
      </c>
      <c r="I42" s="10" t="s">
        <v>1876</v>
      </c>
      <c r="AC42">
        <v>40</v>
      </c>
      <c r="AD42" t="s">
        <v>1716</v>
      </c>
      <c r="AF42" s="7" t="s">
        <v>1055</v>
      </c>
      <c r="AG42">
        <v>40</v>
      </c>
    </row>
    <row r="43" spans="2:33" x14ac:dyDescent="0.55000000000000004">
      <c r="B43" s="21" t="s">
        <v>666</v>
      </c>
      <c r="C43" s="9" t="s">
        <v>84</v>
      </c>
      <c r="D43" s="7" t="s">
        <v>696</v>
      </c>
      <c r="H43">
        <v>42</v>
      </c>
      <c r="I43" s="10" t="s">
        <v>1877</v>
      </c>
      <c r="AC43">
        <v>41</v>
      </c>
      <c r="AD43" t="s">
        <v>1717</v>
      </c>
      <c r="AF43" s="7" t="s">
        <v>1056</v>
      </c>
      <c r="AG43">
        <v>41</v>
      </c>
    </row>
    <row r="44" spans="2:33" x14ac:dyDescent="0.55000000000000004">
      <c r="B44" s="21" t="s">
        <v>666</v>
      </c>
      <c r="C44" s="9" t="s">
        <v>85</v>
      </c>
      <c r="D44" s="7" t="s">
        <v>697</v>
      </c>
      <c r="H44">
        <v>43</v>
      </c>
      <c r="I44" s="10" t="s">
        <v>1878</v>
      </c>
      <c r="AC44">
        <v>42</v>
      </c>
      <c r="AD44" t="s">
        <v>1718</v>
      </c>
      <c r="AF44" s="7" t="s">
        <v>1057</v>
      </c>
      <c r="AG44">
        <v>42</v>
      </c>
    </row>
    <row r="45" spans="2:33" x14ac:dyDescent="0.55000000000000004">
      <c r="B45" s="21" t="s">
        <v>666</v>
      </c>
      <c r="C45" s="9" t="s">
        <v>86</v>
      </c>
      <c r="D45" s="7" t="s">
        <v>698</v>
      </c>
      <c r="AC45">
        <v>43</v>
      </c>
      <c r="AD45" t="s">
        <v>1719</v>
      </c>
      <c r="AF45" s="7" t="s">
        <v>1058</v>
      </c>
      <c r="AG45">
        <v>43</v>
      </c>
    </row>
    <row r="46" spans="2:33" x14ac:dyDescent="0.55000000000000004">
      <c r="B46" s="21" t="s">
        <v>666</v>
      </c>
      <c r="C46" s="9" t="s">
        <v>87</v>
      </c>
      <c r="D46" s="7" t="s">
        <v>699</v>
      </c>
      <c r="AC46">
        <v>44</v>
      </c>
      <c r="AD46" t="s">
        <v>1720</v>
      </c>
      <c r="AF46" s="7" t="s">
        <v>1059</v>
      </c>
      <c r="AG46">
        <v>44</v>
      </c>
    </row>
    <row r="47" spans="2:33" x14ac:dyDescent="0.55000000000000004">
      <c r="B47" s="21" t="s">
        <v>666</v>
      </c>
      <c r="C47" s="6" t="s">
        <v>88</v>
      </c>
      <c r="D47" s="7" t="s">
        <v>700</v>
      </c>
      <c r="AC47">
        <v>45</v>
      </c>
      <c r="AD47" t="s">
        <v>1721</v>
      </c>
      <c r="AF47" s="7" t="s">
        <v>1060</v>
      </c>
      <c r="AG47">
        <v>45</v>
      </c>
    </row>
    <row r="48" spans="2:33" x14ac:dyDescent="0.55000000000000004">
      <c r="B48" s="21" t="s">
        <v>666</v>
      </c>
      <c r="C48" s="6" t="s">
        <v>89</v>
      </c>
      <c r="D48" s="7" t="s">
        <v>701</v>
      </c>
      <c r="AC48">
        <v>46</v>
      </c>
      <c r="AD48" t="s">
        <v>1722</v>
      </c>
      <c r="AF48" s="7" t="s">
        <v>1061</v>
      </c>
      <c r="AG48">
        <v>46</v>
      </c>
    </row>
    <row r="49" spans="1:33" x14ac:dyDescent="0.55000000000000004">
      <c r="B49" s="22" t="s">
        <v>666</v>
      </c>
      <c r="C49" s="104" t="s">
        <v>1632</v>
      </c>
      <c r="D49" s="1" t="s">
        <v>1879</v>
      </c>
      <c r="AC49">
        <v>47</v>
      </c>
      <c r="AD49" t="s">
        <v>1723</v>
      </c>
      <c r="AF49" s="7" t="s">
        <v>1062</v>
      </c>
      <c r="AG49">
        <v>47</v>
      </c>
    </row>
    <row r="50" spans="1:33" x14ac:dyDescent="0.55000000000000004">
      <c r="B50" s="22" t="s">
        <v>666</v>
      </c>
      <c r="C50" s="104" t="s">
        <v>1640</v>
      </c>
      <c r="D50" s="1" t="s">
        <v>1864</v>
      </c>
      <c r="AC50">
        <v>48</v>
      </c>
      <c r="AD50" t="s">
        <v>1724</v>
      </c>
      <c r="AF50" s="7" t="s">
        <v>1063</v>
      </c>
      <c r="AG50">
        <v>48</v>
      </c>
    </row>
    <row r="51" spans="1:33" x14ac:dyDescent="0.55000000000000004">
      <c r="B51" s="22" t="s">
        <v>666</v>
      </c>
      <c r="C51" s="104" t="s">
        <v>1648</v>
      </c>
      <c r="D51" s="1" t="s">
        <v>1865</v>
      </c>
      <c r="H51" t="s">
        <v>1613</v>
      </c>
      <c r="AC51">
        <v>49</v>
      </c>
      <c r="AD51" t="s">
        <v>1725</v>
      </c>
      <c r="AF51" s="7" t="s">
        <v>1064</v>
      </c>
      <c r="AG51">
        <v>49</v>
      </c>
    </row>
    <row r="52" spans="1:33" x14ac:dyDescent="0.55000000000000004">
      <c r="B52" s="22" t="s">
        <v>666</v>
      </c>
      <c r="C52" s="104" t="s">
        <v>1656</v>
      </c>
      <c r="D52" s="1" t="s">
        <v>1866</v>
      </c>
      <c r="H52" s="78" t="s">
        <v>1612</v>
      </c>
      <c r="AC52">
        <v>50</v>
      </c>
      <c r="AD52" t="s">
        <v>1726</v>
      </c>
      <c r="AF52" s="7" t="s">
        <v>1065</v>
      </c>
      <c r="AG52">
        <v>50</v>
      </c>
    </row>
    <row r="53" spans="1:33" x14ac:dyDescent="0.55000000000000004">
      <c r="AC53">
        <v>51</v>
      </c>
      <c r="AD53" t="s">
        <v>1727</v>
      </c>
      <c r="AF53" s="7" t="s">
        <v>1066</v>
      </c>
      <c r="AG53">
        <v>51</v>
      </c>
    </row>
    <row r="54" spans="1:33" x14ac:dyDescent="0.55000000000000004">
      <c r="AC54">
        <v>52</v>
      </c>
      <c r="AD54" t="s">
        <v>1728</v>
      </c>
      <c r="AF54" s="7" t="s">
        <v>1067</v>
      </c>
      <c r="AG54">
        <v>52</v>
      </c>
    </row>
    <row r="55" spans="1:33" x14ac:dyDescent="0.55000000000000004">
      <c r="AC55">
        <v>53</v>
      </c>
      <c r="AD55" t="s">
        <v>1729</v>
      </c>
      <c r="AF55" s="7" t="s">
        <v>1068</v>
      </c>
      <c r="AG55">
        <v>53</v>
      </c>
    </row>
    <row r="56" spans="1:33" x14ac:dyDescent="0.55000000000000004">
      <c r="A56" s="4" t="s">
        <v>706</v>
      </c>
      <c r="B56" s="36">
        <f>COUNTIF(B2:B52,"Required")</f>
        <v>36</v>
      </c>
      <c r="C56" s="10"/>
      <c r="AC56">
        <v>54</v>
      </c>
      <c r="AD56" t="s">
        <v>1730</v>
      </c>
      <c r="AF56" s="7" t="s">
        <v>1069</v>
      </c>
      <c r="AG56">
        <v>54</v>
      </c>
    </row>
    <row r="57" spans="1:33" x14ac:dyDescent="0.55000000000000004">
      <c r="AC57">
        <v>55</v>
      </c>
      <c r="AD57" t="s">
        <v>1731</v>
      </c>
      <c r="AF57" s="7" t="s">
        <v>1070</v>
      </c>
      <c r="AG57">
        <v>55</v>
      </c>
    </row>
    <row r="58" spans="1:33" x14ac:dyDescent="0.55000000000000004">
      <c r="AC58">
        <v>56</v>
      </c>
      <c r="AD58" t="s">
        <v>1732</v>
      </c>
      <c r="AF58" s="7" t="s">
        <v>1071</v>
      </c>
      <c r="AG58">
        <v>56</v>
      </c>
    </row>
    <row r="59" spans="1:33" x14ac:dyDescent="0.55000000000000004">
      <c r="AC59">
        <v>57</v>
      </c>
      <c r="AD59" t="s">
        <v>1733</v>
      </c>
      <c r="AF59" s="7" t="s">
        <v>1072</v>
      </c>
      <c r="AG59">
        <v>57</v>
      </c>
    </row>
    <row r="60" spans="1:33" x14ac:dyDescent="0.55000000000000004">
      <c r="B60" s="75" t="s">
        <v>1545</v>
      </c>
      <c r="F60" s="6" t="s">
        <v>8</v>
      </c>
      <c r="G60" s="6" t="s">
        <v>9</v>
      </c>
      <c r="H60" s="6" t="s">
        <v>10</v>
      </c>
      <c r="AC60">
        <v>58</v>
      </c>
      <c r="AD60" t="s">
        <v>1734</v>
      </c>
      <c r="AF60" s="7" t="s">
        <v>1073</v>
      </c>
      <c r="AG60">
        <v>58</v>
      </c>
    </row>
    <row r="61" spans="1:33" x14ac:dyDescent="0.55000000000000004">
      <c r="B61" s="6"/>
      <c r="C61" s="7"/>
      <c r="F61" s="10"/>
      <c r="G61" s="10"/>
      <c r="H61" s="10"/>
      <c r="AC61">
        <v>59</v>
      </c>
      <c r="AD61" t="s">
        <v>1735</v>
      </c>
      <c r="AF61" s="7" t="s">
        <v>1074</v>
      </c>
      <c r="AG61">
        <v>59</v>
      </c>
    </row>
    <row r="62" spans="1:33" x14ac:dyDescent="0.55000000000000004">
      <c r="B62" s="37" t="s">
        <v>889</v>
      </c>
      <c r="AC62">
        <v>60</v>
      </c>
      <c r="AD62" t="s">
        <v>1736</v>
      </c>
      <c r="AF62" s="7" t="s">
        <v>1075</v>
      </c>
      <c r="AG62">
        <v>60</v>
      </c>
    </row>
    <row r="63" spans="1:33" x14ac:dyDescent="0.55000000000000004">
      <c r="AC63">
        <v>61</v>
      </c>
      <c r="AD63" t="s">
        <v>1737</v>
      </c>
      <c r="AF63" s="7" t="s">
        <v>1076</v>
      </c>
      <c r="AG63">
        <v>61</v>
      </c>
    </row>
    <row r="64" spans="1:33" x14ac:dyDescent="0.55000000000000004">
      <c r="B64" s="25" t="s">
        <v>4</v>
      </c>
      <c r="C64" s="6" t="s">
        <v>5</v>
      </c>
      <c r="D64" s="6" t="s">
        <v>6</v>
      </c>
      <c r="E64" s="105" t="s">
        <v>7</v>
      </c>
      <c r="F64" s="6" t="s">
        <v>8</v>
      </c>
      <c r="G64" s="105" t="s">
        <v>9</v>
      </c>
      <c r="H64" s="6" t="s">
        <v>10</v>
      </c>
      <c r="AC64">
        <v>62</v>
      </c>
      <c r="AD64" t="s">
        <v>1738</v>
      </c>
      <c r="AF64" s="7" t="s">
        <v>1077</v>
      </c>
      <c r="AG64">
        <v>62</v>
      </c>
    </row>
    <row r="65" spans="2:33" x14ac:dyDescent="0.55000000000000004">
      <c r="B65" s="10">
        <f>w2_con.csv!C22</f>
        <v>0</v>
      </c>
      <c r="C65" s="10">
        <f>w2_con.csv!D22</f>
        <v>0</v>
      </c>
      <c r="D65" s="10">
        <f>w2_con.csv!E22</f>
        <v>0</v>
      </c>
      <c r="E65" s="10">
        <f>w2_con.csv!F22</f>
        <v>0</v>
      </c>
      <c r="F65" s="10">
        <f>w2_con.csv!G22</f>
        <v>0</v>
      </c>
      <c r="G65" s="10">
        <f>w2_con.csv!H22</f>
        <v>0</v>
      </c>
      <c r="H65" s="10">
        <f>w2_con.csv!I22</f>
        <v>0</v>
      </c>
      <c r="AC65">
        <v>63</v>
      </c>
      <c r="AD65" t="s">
        <v>1739</v>
      </c>
      <c r="AF65" s="7" t="s">
        <v>1078</v>
      </c>
      <c r="AG65">
        <v>63</v>
      </c>
    </row>
    <row r="66" spans="2:33" x14ac:dyDescent="0.55000000000000004">
      <c r="E66" s="106" t="s">
        <v>1880</v>
      </c>
      <c r="G66" s="106" t="s">
        <v>1880</v>
      </c>
      <c r="AC66">
        <v>64</v>
      </c>
      <c r="AD66" t="s">
        <v>1740</v>
      </c>
      <c r="AF66" s="7" t="s">
        <v>1079</v>
      </c>
      <c r="AG66">
        <v>64</v>
      </c>
    </row>
    <row r="67" spans="2:33" x14ac:dyDescent="0.55000000000000004">
      <c r="B67" t="s">
        <v>890</v>
      </c>
      <c r="AC67">
        <v>65</v>
      </c>
      <c r="AD67" t="s">
        <v>1741</v>
      </c>
      <c r="AF67" s="7" t="s">
        <v>1080</v>
      </c>
      <c r="AG67">
        <v>65</v>
      </c>
    </row>
    <row r="68" spans="2:33" x14ac:dyDescent="0.55000000000000004">
      <c r="B68" s="38">
        <f>B56+w2_con.csv!C22+w2_con.csv!D22+w2_con.csv!NAL+3*w2_con.csv!G22+w2_con.csv!NZP</f>
        <v>36</v>
      </c>
      <c r="AC68">
        <v>66</v>
      </c>
      <c r="AD68" t="s">
        <v>1742</v>
      </c>
      <c r="AF68" s="7" t="s">
        <v>1081</v>
      </c>
      <c r="AG68">
        <v>66</v>
      </c>
    </row>
    <row r="69" spans="2:33" x14ac:dyDescent="0.55000000000000004">
      <c r="AC69">
        <v>67</v>
      </c>
      <c r="AD69" t="s">
        <v>1743</v>
      </c>
      <c r="AF69" s="7" t="s">
        <v>1082</v>
      </c>
      <c r="AG69">
        <v>67</v>
      </c>
    </row>
    <row r="70" spans="2:33" x14ac:dyDescent="0.55000000000000004">
      <c r="AC70">
        <v>68</v>
      </c>
      <c r="AD70" t="s">
        <v>1744</v>
      </c>
      <c r="AF70" s="7" t="s">
        <v>1083</v>
      </c>
      <c r="AG70">
        <v>68</v>
      </c>
    </row>
    <row r="71" spans="2:33" x14ac:dyDescent="0.55000000000000004">
      <c r="AC71">
        <v>69</v>
      </c>
      <c r="AD71" t="s">
        <v>1745</v>
      </c>
      <c r="AF71" s="7" t="s">
        <v>1084</v>
      </c>
      <c r="AG71">
        <v>69</v>
      </c>
    </row>
    <row r="72" spans="2:33" x14ac:dyDescent="0.55000000000000004">
      <c r="AC72">
        <v>70</v>
      </c>
      <c r="AD72" t="s">
        <v>1746</v>
      </c>
      <c r="AF72" s="7" t="s">
        <v>1085</v>
      </c>
      <c r="AG72">
        <v>70</v>
      </c>
    </row>
    <row r="73" spans="2:33" x14ac:dyDescent="0.55000000000000004">
      <c r="AC73">
        <v>71</v>
      </c>
      <c r="AD73" t="s">
        <v>1747</v>
      </c>
      <c r="AF73" s="7" t="s">
        <v>1086</v>
      </c>
      <c r="AG73">
        <v>71</v>
      </c>
    </row>
    <row r="74" spans="2:33" x14ac:dyDescent="0.55000000000000004">
      <c r="AC74">
        <v>72</v>
      </c>
      <c r="AD74" t="s">
        <v>1748</v>
      </c>
      <c r="AF74" s="7" t="s">
        <v>1087</v>
      </c>
      <c r="AG74">
        <v>72</v>
      </c>
    </row>
    <row r="75" spans="2:33" x14ac:dyDescent="0.55000000000000004">
      <c r="AC75">
        <v>73</v>
      </c>
      <c r="AD75" t="s">
        <v>1749</v>
      </c>
    </row>
  </sheetData>
  <hyperlinks>
    <hyperlink ref="H52" location="'Index of Sheets'!A1" display="'Index of Sheets'!A1" xr:uid="{25F03D2E-8B45-40EF-88BF-5EAA91FB85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B25" sqref="B25"/>
    </sheetView>
  </sheetViews>
  <sheetFormatPr defaultRowHeight="14.4" x14ac:dyDescent="0.55000000000000004"/>
  <cols>
    <col min="1" max="1" width="41.578125" customWidth="1"/>
    <col min="2" max="2" width="10.578125" customWidth="1"/>
    <col min="3" max="3" width="10.26171875" customWidth="1"/>
  </cols>
  <sheetData>
    <row r="1" spans="1:14" x14ac:dyDescent="0.55000000000000004">
      <c r="A1" s="18" t="s">
        <v>1234</v>
      </c>
      <c r="B1" s="18"/>
      <c r="C1" s="18"/>
      <c r="D1" s="18"/>
      <c r="E1" s="18"/>
      <c r="F1" s="18"/>
      <c r="G1" s="48"/>
      <c r="H1" s="48"/>
      <c r="I1" s="48"/>
    </row>
    <row r="2" spans="1:14" x14ac:dyDescent="0.55000000000000004">
      <c r="A2" s="18" t="s">
        <v>1238</v>
      </c>
      <c r="B2" s="18" t="s">
        <v>1239</v>
      </c>
      <c r="C2" s="18"/>
      <c r="D2" s="18"/>
      <c r="E2" s="18"/>
      <c r="F2" s="18"/>
      <c r="G2" s="48"/>
      <c r="H2" s="48"/>
      <c r="I2" s="48"/>
    </row>
    <row r="3" spans="1:14" x14ac:dyDescent="0.55000000000000004">
      <c r="A3" s="7">
        <v>9</v>
      </c>
      <c r="B3" s="7" t="s">
        <v>1240</v>
      </c>
      <c r="C3" s="18"/>
      <c r="D3" s="18"/>
      <c r="E3" s="18"/>
      <c r="F3" s="18"/>
      <c r="G3" s="48"/>
      <c r="H3" s="48"/>
      <c r="I3" s="48"/>
      <c r="N3" t="s">
        <v>1613</v>
      </c>
    </row>
    <row r="4" spans="1:14" x14ac:dyDescent="0.55000000000000004">
      <c r="A4" s="18" t="s">
        <v>1241</v>
      </c>
      <c r="B4" s="18" t="s">
        <v>1242</v>
      </c>
      <c r="C4" s="18" t="s">
        <v>1243</v>
      </c>
      <c r="D4" s="18" t="s">
        <v>1244</v>
      </c>
      <c r="E4" s="18"/>
      <c r="F4" s="18"/>
      <c r="G4" s="48"/>
      <c r="H4" s="48"/>
      <c r="I4" s="48"/>
      <c r="N4" s="78" t="s">
        <v>1612</v>
      </c>
    </row>
    <row r="5" spans="1:14" x14ac:dyDescent="0.55000000000000004">
      <c r="A5" s="18" t="s">
        <v>1245</v>
      </c>
      <c r="B5" s="7">
        <v>0</v>
      </c>
      <c r="C5" s="7">
        <v>18</v>
      </c>
      <c r="D5" s="7">
        <v>5</v>
      </c>
      <c r="E5" s="18"/>
      <c r="F5" s="18"/>
      <c r="G5" s="48"/>
      <c r="H5" s="48"/>
      <c r="I5" s="48"/>
    </row>
    <row r="6" spans="1:14" x14ac:dyDescent="0.55000000000000004">
      <c r="A6" s="18" t="s">
        <v>1246</v>
      </c>
      <c r="B6" s="7">
        <v>10</v>
      </c>
      <c r="C6" s="7">
        <v>24</v>
      </c>
      <c r="D6" s="7">
        <v>5</v>
      </c>
      <c r="E6" s="18"/>
      <c r="F6" s="18"/>
      <c r="G6" s="48"/>
      <c r="H6" s="48"/>
      <c r="I6" s="48"/>
    </row>
    <row r="7" spans="1:14" x14ac:dyDescent="0.55000000000000004">
      <c r="A7" s="18" t="s">
        <v>1247</v>
      </c>
      <c r="B7" s="7">
        <v>12</v>
      </c>
      <c r="C7" s="7">
        <v>24</v>
      </c>
      <c r="D7" s="7">
        <v>5</v>
      </c>
      <c r="E7" s="18"/>
      <c r="F7" s="18"/>
      <c r="G7" s="48"/>
      <c r="H7" s="48"/>
      <c r="I7" s="48"/>
    </row>
    <row r="8" spans="1:14" x14ac:dyDescent="0.55000000000000004">
      <c r="A8" s="18" t="s">
        <v>1248</v>
      </c>
      <c r="B8" s="7">
        <v>0</v>
      </c>
      <c r="C8" s="7">
        <v>28</v>
      </c>
      <c r="D8" s="7">
        <v>3</v>
      </c>
      <c r="E8" s="18"/>
      <c r="F8" s="18"/>
      <c r="G8" s="48"/>
      <c r="H8" s="48"/>
      <c r="I8" s="48"/>
    </row>
    <row r="9" spans="1:14" x14ac:dyDescent="0.55000000000000004">
      <c r="A9" s="18" t="s">
        <v>1249</v>
      </c>
      <c r="B9" s="7">
        <v>0</v>
      </c>
      <c r="C9" s="7">
        <v>29</v>
      </c>
      <c r="D9" s="7">
        <v>4</v>
      </c>
      <c r="E9" s="18"/>
      <c r="F9" s="18"/>
      <c r="G9" s="48"/>
      <c r="H9" s="48"/>
      <c r="I9" s="48"/>
    </row>
    <row r="10" spans="1:14" x14ac:dyDescent="0.55000000000000004">
      <c r="A10" s="18" t="s">
        <v>1250</v>
      </c>
      <c r="B10" s="7">
        <v>0</v>
      </c>
      <c r="C10" s="7">
        <v>24.4</v>
      </c>
      <c r="D10" s="7">
        <v>6</v>
      </c>
      <c r="E10" s="18"/>
      <c r="F10" s="18"/>
      <c r="G10" s="48"/>
      <c r="H10" s="48"/>
      <c r="I10" s="48"/>
    </row>
    <row r="11" spans="1:14" x14ac:dyDescent="0.55000000000000004">
      <c r="A11" s="18" t="s">
        <v>1251</v>
      </c>
      <c r="B11" s="7">
        <v>10</v>
      </c>
      <c r="C11" s="7">
        <v>26.7</v>
      </c>
      <c r="D11" s="7">
        <v>6</v>
      </c>
      <c r="E11" s="18"/>
      <c r="F11" s="18"/>
      <c r="G11" s="48"/>
      <c r="H11" s="48"/>
      <c r="I11" s="48"/>
    </row>
    <row r="12" spans="1:14" x14ac:dyDescent="0.55000000000000004">
      <c r="A12" s="18" t="s">
        <v>1252</v>
      </c>
      <c r="B12" s="7">
        <v>10</v>
      </c>
      <c r="C12" s="7">
        <v>30</v>
      </c>
      <c r="D12" s="7">
        <v>5</v>
      </c>
      <c r="E12" s="18"/>
      <c r="F12" s="18"/>
      <c r="G12" s="48"/>
      <c r="H12" s="48"/>
      <c r="I12" s="48"/>
    </row>
    <row r="13" spans="1:14" x14ac:dyDescent="0.55000000000000004">
      <c r="A13" s="18" t="s">
        <v>1253</v>
      </c>
      <c r="B13" s="7">
        <v>18</v>
      </c>
      <c r="C13" s="7">
        <v>31</v>
      </c>
      <c r="D13" s="7">
        <v>5</v>
      </c>
      <c r="E13" s="18"/>
      <c r="F13" s="18"/>
      <c r="G13" s="48"/>
      <c r="H13" s="48"/>
      <c r="I13" s="48"/>
    </row>
    <row r="14" spans="1:14" x14ac:dyDescent="0.55000000000000004">
      <c r="A14" s="18" t="s">
        <v>1254</v>
      </c>
      <c r="B14" s="18" t="s">
        <v>1255</v>
      </c>
      <c r="C14" s="18"/>
      <c r="D14" s="18"/>
      <c r="E14" s="18"/>
      <c r="F14" s="18"/>
      <c r="G14" s="48"/>
      <c r="H14" s="48"/>
      <c r="I14" s="48"/>
    </row>
    <row r="15" spans="1:14" x14ac:dyDescent="0.55000000000000004">
      <c r="A15" s="7">
        <v>3</v>
      </c>
      <c r="B15" s="7" t="s">
        <v>1256</v>
      </c>
      <c r="C15" s="18"/>
      <c r="D15" s="18"/>
      <c r="E15" s="18"/>
      <c r="F15" s="18"/>
      <c r="G15" s="48"/>
      <c r="H15" s="48"/>
      <c r="I15" s="48"/>
    </row>
    <row r="16" spans="1:14" x14ac:dyDescent="0.55000000000000004">
      <c r="A16" s="18" t="s">
        <v>1235</v>
      </c>
      <c r="B16" s="18"/>
      <c r="C16" s="18"/>
      <c r="D16" s="18"/>
      <c r="E16" s="18"/>
      <c r="F16" s="18"/>
      <c r="G16" s="48"/>
      <c r="H16" s="48"/>
      <c r="I16" s="48"/>
    </row>
    <row r="17" spans="1:9" x14ac:dyDescent="0.55000000000000004">
      <c r="A17" s="7">
        <v>10</v>
      </c>
      <c r="B17" s="7">
        <v>15</v>
      </c>
      <c r="C17" s="7">
        <v>24</v>
      </c>
      <c r="D17" s="18"/>
      <c r="E17" s="18"/>
      <c r="F17" s="18"/>
      <c r="G17" s="48"/>
      <c r="H17" s="48"/>
      <c r="I17" s="48"/>
    </row>
    <row r="18" spans="1:9" x14ac:dyDescent="0.55000000000000004">
      <c r="A18" s="18" t="s">
        <v>1257</v>
      </c>
      <c r="B18" s="18" t="s">
        <v>1258</v>
      </c>
      <c r="C18" s="18"/>
      <c r="D18" s="18"/>
      <c r="E18" s="18"/>
      <c r="F18" s="18"/>
      <c r="G18" s="48"/>
      <c r="H18" s="48"/>
      <c r="I18" s="48"/>
    </row>
    <row r="19" spans="1:9" x14ac:dyDescent="0.55000000000000004">
      <c r="A19" s="7">
        <v>4</v>
      </c>
      <c r="B19" s="7" t="s">
        <v>1259</v>
      </c>
      <c r="C19" s="18"/>
      <c r="D19" s="18"/>
      <c r="E19" s="18"/>
      <c r="F19" s="18"/>
      <c r="G19" s="48"/>
      <c r="H19" s="48"/>
      <c r="I19" s="48"/>
    </row>
    <row r="20" spans="1:9" x14ac:dyDescent="0.55000000000000004">
      <c r="A20" s="18" t="s">
        <v>1236</v>
      </c>
      <c r="B20" s="18"/>
      <c r="C20" s="18"/>
      <c r="D20" s="18"/>
      <c r="E20" s="18"/>
      <c r="F20" s="18"/>
      <c r="G20" s="48"/>
      <c r="H20" s="48"/>
      <c r="I20" s="48"/>
    </row>
    <row r="21" spans="1:9" x14ac:dyDescent="0.55000000000000004">
      <c r="A21" s="7" t="s">
        <v>1237</v>
      </c>
      <c r="B21" s="18"/>
      <c r="C21" s="18"/>
      <c r="D21" s="18"/>
      <c r="E21" s="18"/>
      <c r="F21" s="18"/>
      <c r="G21" s="48"/>
      <c r="H21" s="48"/>
      <c r="I21" s="48"/>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11430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C24" sqref="C24"/>
    </sheetView>
  </sheetViews>
  <sheetFormatPr defaultRowHeight="14.4" x14ac:dyDescent="0.55000000000000004"/>
  <cols>
    <col min="2" max="2" width="12.734375" bestFit="1" customWidth="1"/>
    <col min="3" max="3" width="14.1015625" bestFit="1" customWidth="1"/>
    <col min="4" max="4" width="14.734375" bestFit="1" customWidth="1"/>
    <col min="7" max="7" width="19.1015625" bestFit="1" customWidth="1"/>
  </cols>
  <sheetData>
    <row r="1" spans="1:13" x14ac:dyDescent="0.55000000000000004">
      <c r="A1" s="18" t="s">
        <v>1260</v>
      </c>
      <c r="B1" s="18"/>
      <c r="C1" s="18"/>
      <c r="D1" s="18"/>
      <c r="E1" s="18"/>
      <c r="F1" s="18"/>
      <c r="G1" s="18"/>
      <c r="H1" s="18"/>
      <c r="I1" s="18"/>
      <c r="J1" s="18"/>
      <c r="K1" s="18"/>
    </row>
    <row r="2" spans="1:13" x14ac:dyDescent="0.55000000000000004">
      <c r="A2" s="18" t="s">
        <v>1282</v>
      </c>
      <c r="B2" s="18" t="s">
        <v>1283</v>
      </c>
      <c r="C2" s="18" t="s">
        <v>1284</v>
      </c>
      <c r="D2" s="18"/>
      <c r="E2" s="18"/>
      <c r="F2" s="18"/>
      <c r="G2" s="18"/>
      <c r="H2" s="18"/>
      <c r="I2" s="18"/>
      <c r="J2" s="18"/>
      <c r="K2" s="18"/>
      <c r="M2" t="s">
        <v>1613</v>
      </c>
    </row>
    <row r="3" spans="1:13" x14ac:dyDescent="0.55000000000000004">
      <c r="A3" s="7">
        <v>1</v>
      </c>
      <c r="B3" s="7" t="s">
        <v>1261</v>
      </c>
      <c r="C3" s="18"/>
      <c r="D3" s="18"/>
      <c r="E3" s="18"/>
      <c r="F3" s="18"/>
      <c r="G3" s="18"/>
      <c r="H3" s="18"/>
      <c r="I3" s="18"/>
      <c r="J3" s="18"/>
      <c r="K3" s="18"/>
      <c r="M3" s="78" t="s">
        <v>1612</v>
      </c>
    </row>
    <row r="4" spans="1:13" x14ac:dyDescent="0.55000000000000004">
      <c r="A4" s="18"/>
      <c r="B4" s="18" t="s">
        <v>1273</v>
      </c>
      <c r="C4" s="18" t="s">
        <v>1274</v>
      </c>
      <c r="D4" s="18" t="s">
        <v>1275</v>
      </c>
      <c r="E4" s="18" t="s">
        <v>1276</v>
      </c>
      <c r="F4" s="18" t="s">
        <v>1277</v>
      </c>
      <c r="G4" s="18" t="s">
        <v>1278</v>
      </c>
      <c r="H4" s="18" t="s">
        <v>1279</v>
      </c>
      <c r="I4" s="18" t="s">
        <v>1279</v>
      </c>
      <c r="J4" s="18" t="s">
        <v>1280</v>
      </c>
      <c r="K4" s="18" t="s">
        <v>1281</v>
      </c>
    </row>
    <row r="5" spans="1:13" x14ac:dyDescent="0.55000000000000004">
      <c r="A5" s="18" t="s">
        <v>1262</v>
      </c>
      <c r="B5" s="18" t="s">
        <v>1263</v>
      </c>
      <c r="C5" s="18" t="s">
        <v>1264</v>
      </c>
      <c r="D5" s="18" t="s">
        <v>1265</v>
      </c>
      <c r="E5" s="18" t="s">
        <v>1266</v>
      </c>
      <c r="F5" s="18" t="s">
        <v>1267</v>
      </c>
      <c r="G5" s="18" t="s">
        <v>1268</v>
      </c>
      <c r="H5" s="18" t="s">
        <v>1269</v>
      </c>
      <c r="I5" s="18" t="s">
        <v>1270</v>
      </c>
      <c r="J5" s="18" t="s">
        <v>1271</v>
      </c>
      <c r="K5" s="18" t="s">
        <v>1272</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B4CB6918-F8A6-44FE-9664-D93D91B4108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1</xdr:col>
                    <xdr:colOff>544830</xdr:colOff>
                    <xdr:row>8</xdr:row>
                    <xdr:rowOff>171450</xdr:rowOff>
                  </from>
                  <to>
                    <xdr:col>3</xdr:col>
                    <xdr:colOff>266700</xdr:colOff>
                    <xdr:row>13</xdr:row>
                    <xdr:rowOff>11430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70" zoomScaleNormal="70" workbookViewId="0">
      <selection activeCell="L27" sqref="L27"/>
    </sheetView>
  </sheetViews>
  <sheetFormatPr defaultRowHeight="14.4" x14ac:dyDescent="0.55000000000000004"/>
  <cols>
    <col min="1" max="1" width="10.1015625" customWidth="1"/>
    <col min="12" max="12" width="37.41796875" customWidth="1"/>
  </cols>
  <sheetData>
    <row r="1" spans="1:17" x14ac:dyDescent="0.55000000000000004">
      <c r="A1" s="13" t="s">
        <v>1286</v>
      </c>
      <c r="B1" s="13"/>
      <c r="C1" s="13"/>
      <c r="D1" s="13"/>
      <c r="E1" s="13"/>
      <c r="F1" s="13"/>
      <c r="G1" s="13"/>
      <c r="H1" s="13"/>
      <c r="I1" s="13"/>
      <c r="J1" s="13"/>
    </row>
    <row r="2" spans="1:17" x14ac:dyDescent="0.55000000000000004">
      <c r="A2" s="13" t="s">
        <v>1881</v>
      </c>
      <c r="B2" s="13" t="s">
        <v>1305</v>
      </c>
      <c r="C2" s="13" t="s">
        <v>12</v>
      </c>
      <c r="D2" s="13" t="s">
        <v>1287</v>
      </c>
      <c r="E2" s="13" t="s">
        <v>1288</v>
      </c>
      <c r="F2" s="13" t="s">
        <v>1289</v>
      </c>
      <c r="G2" s="13" t="s">
        <v>1290</v>
      </c>
      <c r="H2" s="13"/>
      <c r="I2" s="13"/>
      <c r="J2" s="13"/>
      <c r="Q2" t="s">
        <v>1613</v>
      </c>
    </row>
    <row r="3" spans="1:17" x14ac:dyDescent="0.55000000000000004">
      <c r="A3" s="7">
        <v>1</v>
      </c>
      <c r="B3" s="7">
        <v>20</v>
      </c>
      <c r="C3" s="7" t="s">
        <v>17</v>
      </c>
      <c r="D3" s="7">
        <v>100</v>
      </c>
      <c r="E3" s="7">
        <v>150</v>
      </c>
      <c r="F3" s="7">
        <v>5</v>
      </c>
      <c r="G3" s="7">
        <v>25</v>
      </c>
      <c r="H3" s="13"/>
      <c r="I3" s="13"/>
      <c r="J3" s="13"/>
      <c r="Q3" s="78" t="s">
        <v>1612</v>
      </c>
    </row>
    <row r="4" spans="1:17" x14ac:dyDescent="0.55000000000000004">
      <c r="A4" s="13"/>
      <c r="B4" s="13"/>
      <c r="C4" s="13"/>
      <c r="D4" s="13"/>
      <c r="E4" s="13"/>
      <c r="F4" s="13"/>
      <c r="G4" s="13"/>
      <c r="H4" s="13"/>
      <c r="I4" s="13"/>
      <c r="J4" s="13"/>
    </row>
    <row r="5" spans="1:17" x14ac:dyDescent="0.55000000000000004">
      <c r="A5" s="13" t="s">
        <v>1291</v>
      </c>
      <c r="B5" s="13" t="s">
        <v>1292</v>
      </c>
      <c r="C5" s="13" t="s">
        <v>1293</v>
      </c>
      <c r="D5" s="13" t="s">
        <v>1294</v>
      </c>
      <c r="E5" s="13" t="s">
        <v>1295</v>
      </c>
      <c r="F5" s="13" t="s">
        <v>1296</v>
      </c>
      <c r="G5" s="13" t="s">
        <v>1297</v>
      </c>
      <c r="H5" s="13" t="s">
        <v>1298</v>
      </c>
      <c r="I5" s="13" t="s">
        <v>1299</v>
      </c>
    </row>
    <row r="6" spans="1:17" x14ac:dyDescent="0.55000000000000004">
      <c r="A6" s="7" t="s">
        <v>17</v>
      </c>
      <c r="B6" s="7">
        <v>0.05</v>
      </c>
      <c r="C6" s="7">
        <v>0.5</v>
      </c>
      <c r="D6" s="7" t="s">
        <v>1300</v>
      </c>
      <c r="E6" s="7">
        <v>1</v>
      </c>
      <c r="F6" s="7">
        <v>30</v>
      </c>
      <c r="G6" s="7" t="s">
        <v>17</v>
      </c>
      <c r="H6" s="7">
        <v>10</v>
      </c>
      <c r="I6" s="7">
        <v>120</v>
      </c>
    </row>
    <row r="7" spans="1:17" x14ac:dyDescent="0.55000000000000004">
      <c r="A7" s="13"/>
      <c r="B7" s="13"/>
      <c r="C7" s="13"/>
      <c r="D7" s="13"/>
      <c r="E7" s="13"/>
      <c r="F7" s="13"/>
      <c r="G7" s="13"/>
      <c r="H7" s="13"/>
      <c r="I7" s="13"/>
      <c r="J7" s="13"/>
      <c r="O7" s="7" t="s">
        <v>961</v>
      </c>
    </row>
    <row r="8" spans="1:17" x14ac:dyDescent="0.55000000000000004">
      <c r="A8" s="13" t="s">
        <v>1301</v>
      </c>
      <c r="B8" s="13" t="s">
        <v>1302</v>
      </c>
      <c r="C8" s="13" t="s">
        <v>1303</v>
      </c>
      <c r="D8" s="13" t="s">
        <v>1304</v>
      </c>
      <c r="E8" s="13"/>
      <c r="F8" s="13"/>
      <c r="G8" s="13"/>
      <c r="H8" s="13"/>
      <c r="I8" s="13"/>
      <c r="J8" s="13"/>
      <c r="O8" s="7" t="s">
        <v>962</v>
      </c>
    </row>
    <row r="9" spans="1:17" x14ac:dyDescent="0.55000000000000004">
      <c r="A9" s="7" t="s">
        <v>961</v>
      </c>
      <c r="B9" s="6" t="s">
        <v>17</v>
      </c>
      <c r="C9" s="6">
        <v>1</v>
      </c>
      <c r="D9" s="6">
        <v>20</v>
      </c>
      <c r="E9" s="13"/>
      <c r="F9" s="13"/>
      <c r="G9" s="13"/>
      <c r="H9" s="13"/>
      <c r="I9" s="13"/>
      <c r="J9" s="13"/>
      <c r="L9" s="49" t="s">
        <v>1309</v>
      </c>
      <c r="O9" s="7" t="s">
        <v>963</v>
      </c>
    </row>
    <row r="10" spans="1:17" x14ac:dyDescent="0.55000000000000004">
      <c r="A10" s="7" t="s">
        <v>962</v>
      </c>
      <c r="B10" s="6" t="s">
        <v>2</v>
      </c>
      <c r="C10" s="6">
        <v>1</v>
      </c>
      <c r="D10" s="6">
        <v>20</v>
      </c>
      <c r="E10" s="13"/>
      <c r="F10" s="13"/>
      <c r="G10" s="13"/>
      <c r="H10" s="13"/>
      <c r="I10" s="13"/>
      <c r="J10" s="13"/>
      <c r="L10" s="50" t="s">
        <v>1310</v>
      </c>
      <c r="O10" s="7" t="s">
        <v>964</v>
      </c>
    </row>
    <row r="11" spans="1:17" x14ac:dyDescent="0.55000000000000004">
      <c r="A11" s="7" t="s">
        <v>963</v>
      </c>
      <c r="B11" s="6" t="s">
        <v>2</v>
      </c>
      <c r="C11" s="6">
        <v>1</v>
      </c>
      <c r="D11" s="6">
        <v>20</v>
      </c>
      <c r="E11" s="13"/>
      <c r="F11" s="13"/>
      <c r="G11" s="13"/>
      <c r="H11" s="13"/>
      <c r="I11" s="13"/>
      <c r="J11" s="13"/>
      <c r="L11" s="50" t="s">
        <v>1311</v>
      </c>
      <c r="O11" s="7" t="s">
        <v>965</v>
      </c>
    </row>
    <row r="12" spans="1:17" x14ac:dyDescent="0.55000000000000004">
      <c r="A12" s="7" t="s">
        <v>964</v>
      </c>
      <c r="B12" s="6" t="s">
        <v>2</v>
      </c>
      <c r="C12" s="6">
        <v>1</v>
      </c>
      <c r="D12" s="6">
        <v>20</v>
      </c>
      <c r="E12" s="13"/>
      <c r="F12" s="13"/>
      <c r="G12" s="13"/>
      <c r="H12" s="13"/>
      <c r="I12" s="13"/>
      <c r="J12" s="13"/>
      <c r="L12" t="s">
        <v>1597</v>
      </c>
      <c r="O12" s="16" t="s">
        <v>1513</v>
      </c>
    </row>
    <row r="13" spans="1:17" x14ac:dyDescent="0.55000000000000004">
      <c r="A13" s="7" t="s">
        <v>965</v>
      </c>
      <c r="B13" s="6" t="s">
        <v>2</v>
      </c>
      <c r="C13" s="6">
        <v>1</v>
      </c>
      <c r="D13" s="6">
        <v>20</v>
      </c>
      <c r="E13" s="13"/>
      <c r="F13" s="13"/>
      <c r="G13" s="13"/>
      <c r="H13" s="13"/>
      <c r="I13" s="13"/>
      <c r="J13" s="13"/>
      <c r="L13" t="str">
        <f>'Required Constituent Order'!B64</f>
        <v>NGC</v>
      </c>
      <c r="O13" s="16" t="s">
        <v>1514</v>
      </c>
    </row>
    <row r="14" spans="1:17" x14ac:dyDescent="0.55000000000000004">
      <c r="A14" s="16" t="s">
        <v>1513</v>
      </c>
      <c r="B14" s="6" t="s">
        <v>17</v>
      </c>
      <c r="C14" s="6">
        <v>1</v>
      </c>
      <c r="D14" s="6">
        <v>20</v>
      </c>
      <c r="E14" s="13"/>
      <c r="F14" s="13"/>
      <c r="G14" s="13"/>
      <c r="H14" s="13"/>
      <c r="I14" s="13"/>
      <c r="J14" s="13"/>
      <c r="O14" s="7" t="s">
        <v>1515</v>
      </c>
    </row>
    <row r="15" spans="1:17" x14ac:dyDescent="0.55000000000000004">
      <c r="A15" s="16" t="s">
        <v>1514</v>
      </c>
      <c r="B15" s="6" t="s">
        <v>17</v>
      </c>
      <c r="C15" s="6">
        <v>1</v>
      </c>
      <c r="D15" s="6">
        <v>20</v>
      </c>
      <c r="E15" s="13"/>
      <c r="F15" s="13"/>
      <c r="G15" s="13"/>
      <c r="H15" s="13"/>
      <c r="I15" s="13"/>
      <c r="J15" s="13"/>
      <c r="O15" s="7" t="s">
        <v>1517</v>
      </c>
    </row>
    <row r="16" spans="1:17" x14ac:dyDescent="0.55000000000000004">
      <c r="A16" s="7" t="s">
        <v>1515</v>
      </c>
      <c r="B16" s="6" t="s">
        <v>17</v>
      </c>
      <c r="C16" s="6">
        <v>1</v>
      </c>
      <c r="D16" s="6">
        <v>20</v>
      </c>
      <c r="E16" s="13"/>
      <c r="F16" s="13"/>
      <c r="G16" s="13"/>
      <c r="H16" s="13"/>
      <c r="I16" s="13"/>
      <c r="J16" s="13"/>
      <c r="O16" s="7" t="s">
        <v>1485</v>
      </c>
    </row>
    <row r="17" spans="1:15" x14ac:dyDescent="0.55000000000000004">
      <c r="A17" s="7" t="s">
        <v>1517</v>
      </c>
      <c r="B17" s="6" t="s">
        <v>17</v>
      </c>
      <c r="C17" s="6">
        <v>1</v>
      </c>
      <c r="D17" s="6">
        <v>20</v>
      </c>
      <c r="E17" s="13"/>
      <c r="F17" s="13"/>
      <c r="G17" s="13"/>
      <c r="H17" s="13"/>
      <c r="I17" s="13"/>
      <c r="J17" s="13"/>
      <c r="O17" s="7" t="s">
        <v>1486</v>
      </c>
    </row>
    <row r="18" spans="1:15" x14ac:dyDescent="0.55000000000000004">
      <c r="A18" s="7" t="s">
        <v>1485</v>
      </c>
      <c r="B18" s="6" t="s">
        <v>17</v>
      </c>
      <c r="C18" s="6">
        <v>1</v>
      </c>
      <c r="D18" s="6">
        <v>20</v>
      </c>
      <c r="E18" s="13"/>
      <c r="F18" s="13"/>
      <c r="G18" s="13"/>
      <c r="H18" s="13"/>
      <c r="I18" s="13"/>
      <c r="J18" s="13"/>
      <c r="O18" s="7" t="s">
        <v>1521</v>
      </c>
    </row>
    <row r="19" spans="1:15" x14ac:dyDescent="0.55000000000000004">
      <c r="A19" s="7" t="s">
        <v>1486</v>
      </c>
      <c r="B19" s="6" t="s">
        <v>17</v>
      </c>
      <c r="C19" s="6">
        <v>1</v>
      </c>
      <c r="D19" s="6">
        <v>20</v>
      </c>
      <c r="E19" s="13"/>
      <c r="F19" s="13"/>
      <c r="G19" s="13"/>
      <c r="H19" s="13"/>
      <c r="I19" s="13"/>
      <c r="J19" s="13"/>
      <c r="O19" s="7" t="s">
        <v>1523</v>
      </c>
    </row>
    <row r="20" spans="1:15" x14ac:dyDescent="0.55000000000000004">
      <c r="A20" s="7" t="s">
        <v>1521</v>
      </c>
      <c r="B20" s="6" t="s">
        <v>17</v>
      </c>
      <c r="C20" s="6">
        <v>1</v>
      </c>
      <c r="D20" s="6">
        <v>20</v>
      </c>
      <c r="E20" s="13"/>
      <c r="F20" s="13"/>
      <c r="G20" s="13"/>
      <c r="H20" s="13"/>
      <c r="I20" s="13"/>
      <c r="J20" s="13"/>
      <c r="O20" s="7" t="s">
        <v>1525</v>
      </c>
    </row>
    <row r="21" spans="1:15" x14ac:dyDescent="0.55000000000000004">
      <c r="A21" s="7" t="s">
        <v>1523</v>
      </c>
      <c r="B21" s="6" t="s">
        <v>17</v>
      </c>
      <c r="C21" s="6">
        <v>1</v>
      </c>
      <c r="D21" s="6">
        <v>20</v>
      </c>
      <c r="E21" s="13"/>
      <c r="F21" s="13"/>
      <c r="G21" s="13"/>
      <c r="H21" s="13"/>
      <c r="I21" s="13"/>
      <c r="J21" s="13"/>
      <c r="O21" s="7" t="s">
        <v>1527</v>
      </c>
    </row>
    <row r="22" spans="1:15" x14ac:dyDescent="0.55000000000000004">
      <c r="A22" s="7" t="s">
        <v>1525</v>
      </c>
      <c r="B22" s="6" t="s">
        <v>17</v>
      </c>
      <c r="C22" s="6">
        <v>1</v>
      </c>
      <c r="D22" s="6">
        <v>20</v>
      </c>
      <c r="E22" s="13"/>
      <c r="F22" s="13"/>
      <c r="G22" s="13"/>
      <c r="H22" s="13"/>
      <c r="I22" s="13"/>
      <c r="J22" s="13"/>
      <c r="O22" s="7" t="s">
        <v>1529</v>
      </c>
    </row>
    <row r="23" spans="1:15" x14ac:dyDescent="0.55000000000000004">
      <c r="A23" s="7" t="s">
        <v>1527</v>
      </c>
      <c r="B23" s="6" t="s">
        <v>17</v>
      </c>
      <c r="C23" s="6">
        <v>1</v>
      </c>
      <c r="D23" s="6">
        <v>20</v>
      </c>
      <c r="E23" s="13"/>
      <c r="F23" s="13"/>
      <c r="G23" s="13"/>
      <c r="H23" s="13"/>
      <c r="I23" s="13"/>
      <c r="J23" s="13"/>
      <c r="O23" s="7" t="s">
        <v>966</v>
      </c>
    </row>
    <row r="24" spans="1:15" x14ac:dyDescent="0.55000000000000004">
      <c r="A24" s="7" t="s">
        <v>1529</v>
      </c>
      <c r="B24" s="6" t="s">
        <v>17</v>
      </c>
      <c r="C24" s="6">
        <v>1</v>
      </c>
      <c r="D24" s="6">
        <v>20</v>
      </c>
      <c r="E24" s="13"/>
      <c r="F24" s="13"/>
      <c r="G24" s="13"/>
      <c r="H24" s="13"/>
      <c r="I24" s="13"/>
      <c r="J24" s="13"/>
      <c r="O24" s="7" t="s">
        <v>967</v>
      </c>
    </row>
    <row r="25" spans="1:15" x14ac:dyDescent="0.55000000000000004">
      <c r="A25" s="7" t="s">
        <v>966</v>
      </c>
      <c r="B25" s="6" t="s">
        <v>2</v>
      </c>
      <c r="C25" s="6">
        <v>1</v>
      </c>
      <c r="D25" s="6">
        <v>20</v>
      </c>
      <c r="E25" s="13"/>
      <c r="F25" s="13"/>
      <c r="G25" s="13"/>
      <c r="H25" s="13"/>
      <c r="I25" s="13"/>
      <c r="J25" s="13"/>
      <c r="O25" s="7" t="s">
        <v>968</v>
      </c>
    </row>
    <row r="26" spans="1:15" x14ac:dyDescent="0.55000000000000004">
      <c r="A26" s="7" t="s">
        <v>967</v>
      </c>
      <c r="B26" s="6" t="s">
        <v>17</v>
      </c>
      <c r="C26" s="6">
        <v>1</v>
      </c>
      <c r="D26" s="6">
        <v>20</v>
      </c>
      <c r="E26" s="13"/>
      <c r="F26" s="13"/>
      <c r="G26" s="13"/>
      <c r="H26" s="13"/>
      <c r="I26" s="13"/>
      <c r="J26" s="13"/>
      <c r="O26" s="7" t="s">
        <v>969</v>
      </c>
    </row>
    <row r="27" spans="1:15" x14ac:dyDescent="0.55000000000000004">
      <c r="A27" s="7" t="s">
        <v>968</v>
      </c>
      <c r="B27" s="6" t="s">
        <v>17</v>
      </c>
      <c r="C27" s="6">
        <v>1</v>
      </c>
      <c r="D27" s="6">
        <v>20</v>
      </c>
      <c r="E27" s="13"/>
      <c r="F27" s="13"/>
      <c r="G27" s="13"/>
      <c r="H27" s="13"/>
      <c r="I27" s="13"/>
      <c r="J27" s="13"/>
      <c r="O27" s="7" t="s">
        <v>970</v>
      </c>
    </row>
    <row r="28" spans="1:15" x14ac:dyDescent="0.55000000000000004">
      <c r="A28" s="7" t="s">
        <v>969</v>
      </c>
      <c r="B28" s="6" t="s">
        <v>17</v>
      </c>
      <c r="C28" s="6">
        <v>1</v>
      </c>
      <c r="D28" s="6">
        <v>20</v>
      </c>
      <c r="E28" s="13"/>
      <c r="F28" s="13"/>
      <c r="G28" s="13"/>
      <c r="H28" s="13"/>
      <c r="I28" s="13"/>
      <c r="J28" s="13"/>
      <c r="O28" s="7" t="s">
        <v>972</v>
      </c>
    </row>
    <row r="29" spans="1:15" x14ac:dyDescent="0.55000000000000004">
      <c r="A29" s="7" t="s">
        <v>970</v>
      </c>
      <c r="B29" s="6" t="s">
        <v>17</v>
      </c>
      <c r="C29" s="6">
        <v>1</v>
      </c>
      <c r="D29" s="6">
        <v>20</v>
      </c>
      <c r="E29" s="13"/>
      <c r="F29" s="13"/>
      <c r="G29" s="13"/>
      <c r="H29" s="13"/>
      <c r="I29" s="13"/>
      <c r="J29" s="13"/>
      <c r="O29" s="7" t="s">
        <v>973</v>
      </c>
    </row>
    <row r="30" spans="1:15" x14ac:dyDescent="0.55000000000000004">
      <c r="A30" s="7" t="s">
        <v>972</v>
      </c>
      <c r="B30" s="6" t="s">
        <v>17</v>
      </c>
      <c r="C30" s="6">
        <v>1</v>
      </c>
      <c r="D30" s="6">
        <v>20</v>
      </c>
      <c r="E30" s="13"/>
      <c r="F30" s="13"/>
      <c r="G30" s="13"/>
      <c r="H30" s="13"/>
      <c r="I30" s="13"/>
      <c r="J30" s="13"/>
      <c r="O30" s="7" t="s">
        <v>974</v>
      </c>
    </row>
    <row r="31" spans="1:15" x14ac:dyDescent="0.55000000000000004">
      <c r="A31" s="7" t="s">
        <v>973</v>
      </c>
      <c r="B31" s="6" t="s">
        <v>17</v>
      </c>
      <c r="C31" s="6">
        <v>1</v>
      </c>
      <c r="D31" s="6">
        <v>20</v>
      </c>
      <c r="E31" s="13"/>
      <c r="F31" s="13"/>
      <c r="G31" s="13"/>
      <c r="H31" s="13"/>
      <c r="I31" s="13"/>
      <c r="J31" s="13"/>
      <c r="O31" s="7" t="s">
        <v>975</v>
      </c>
    </row>
    <row r="32" spans="1:15" x14ac:dyDescent="0.55000000000000004">
      <c r="A32" s="7" t="s">
        <v>974</v>
      </c>
      <c r="B32" s="6" t="s">
        <v>17</v>
      </c>
      <c r="C32" s="6">
        <v>1</v>
      </c>
      <c r="D32" s="6">
        <v>20</v>
      </c>
      <c r="E32" s="13"/>
      <c r="F32" s="13"/>
      <c r="G32" s="13"/>
      <c r="H32" s="13"/>
      <c r="I32" s="13"/>
      <c r="J32" s="13"/>
      <c r="O32" s="7" t="s">
        <v>976</v>
      </c>
    </row>
    <row r="33" spans="1:15" x14ac:dyDescent="0.55000000000000004">
      <c r="A33" s="7" t="s">
        <v>975</v>
      </c>
      <c r="B33" s="6" t="s">
        <v>17</v>
      </c>
      <c r="C33" s="6">
        <v>1</v>
      </c>
      <c r="D33" s="6">
        <v>20</v>
      </c>
      <c r="E33" s="13"/>
      <c r="F33" s="13"/>
      <c r="G33" s="13"/>
      <c r="H33" s="13"/>
      <c r="I33" s="13"/>
      <c r="J33" s="13"/>
      <c r="O33" s="7" t="s">
        <v>977</v>
      </c>
    </row>
    <row r="34" spans="1:15" x14ac:dyDescent="0.55000000000000004">
      <c r="A34" s="7" t="s">
        <v>976</v>
      </c>
      <c r="B34" s="6" t="s">
        <v>17</v>
      </c>
      <c r="C34" s="6">
        <v>1</v>
      </c>
      <c r="D34" s="6">
        <v>20</v>
      </c>
      <c r="E34" s="13"/>
      <c r="F34" s="13"/>
      <c r="G34" s="13"/>
      <c r="H34" s="13"/>
      <c r="I34" s="13"/>
      <c r="J34" s="13"/>
      <c r="O34" s="7" t="s">
        <v>978</v>
      </c>
    </row>
    <row r="35" spans="1:15" x14ac:dyDescent="0.55000000000000004">
      <c r="A35" s="7" t="s">
        <v>977</v>
      </c>
      <c r="B35" s="6" t="s">
        <v>2</v>
      </c>
      <c r="C35" s="6">
        <v>0.5</v>
      </c>
      <c r="D35" s="6">
        <v>10</v>
      </c>
      <c r="E35" s="13"/>
      <c r="F35" s="13"/>
      <c r="G35" s="13"/>
      <c r="H35" s="13"/>
      <c r="I35" s="13"/>
      <c r="J35" s="13"/>
      <c r="O35" s="7" t="s">
        <v>979</v>
      </c>
    </row>
    <row r="36" spans="1:15" x14ac:dyDescent="0.55000000000000004">
      <c r="A36" s="7" t="s">
        <v>978</v>
      </c>
      <c r="B36" s="6" t="s">
        <v>17</v>
      </c>
      <c r="C36" s="6">
        <v>1</v>
      </c>
      <c r="D36" s="6">
        <v>20</v>
      </c>
      <c r="E36" s="13"/>
      <c r="F36" s="13"/>
      <c r="G36" s="13"/>
      <c r="H36" s="13"/>
      <c r="I36" s="13"/>
      <c r="J36" s="13"/>
      <c r="O36" s="7" t="s">
        <v>980</v>
      </c>
    </row>
    <row r="37" spans="1:15" x14ac:dyDescent="0.55000000000000004">
      <c r="A37" s="7" t="s">
        <v>979</v>
      </c>
      <c r="B37" s="6" t="s">
        <v>17</v>
      </c>
      <c r="C37" s="6">
        <v>1</v>
      </c>
      <c r="D37" s="6">
        <v>20</v>
      </c>
      <c r="E37" s="13"/>
      <c r="F37" s="13"/>
      <c r="G37" s="13"/>
      <c r="H37" s="13"/>
      <c r="I37" s="13"/>
      <c r="J37" s="13"/>
      <c r="O37" s="7" t="s">
        <v>981</v>
      </c>
    </row>
    <row r="38" spans="1:15" x14ac:dyDescent="0.55000000000000004">
      <c r="A38" s="7" t="s">
        <v>980</v>
      </c>
      <c r="B38" s="6" t="s">
        <v>17</v>
      </c>
      <c r="C38" s="6">
        <v>1</v>
      </c>
      <c r="D38" s="6">
        <v>20</v>
      </c>
      <c r="E38" s="13"/>
      <c r="F38" s="13"/>
      <c r="G38" s="13"/>
      <c r="H38" s="13"/>
      <c r="I38" s="13"/>
      <c r="J38" s="13"/>
      <c r="O38" s="7" t="s">
        <v>982</v>
      </c>
    </row>
    <row r="39" spans="1:15" x14ac:dyDescent="0.55000000000000004">
      <c r="A39" s="7" t="s">
        <v>981</v>
      </c>
      <c r="B39" s="6" t="s">
        <v>17</v>
      </c>
      <c r="C39" s="6">
        <v>1</v>
      </c>
      <c r="D39" s="6">
        <v>20</v>
      </c>
      <c r="E39" s="13"/>
      <c r="F39" s="13"/>
      <c r="G39" s="13"/>
      <c r="H39" s="13"/>
      <c r="I39" s="13"/>
      <c r="J39" s="13"/>
      <c r="L39" s="48" t="s">
        <v>1307</v>
      </c>
      <c r="O39" s="7" t="s">
        <v>983</v>
      </c>
    </row>
    <row r="40" spans="1:15" x14ac:dyDescent="0.55000000000000004">
      <c r="A40" s="7" t="s">
        <v>982</v>
      </c>
      <c r="B40" s="6" t="s">
        <v>17</v>
      </c>
      <c r="C40" s="6">
        <v>1</v>
      </c>
      <c r="D40" s="6">
        <v>20</v>
      </c>
      <c r="E40" s="13"/>
      <c r="F40" s="13"/>
      <c r="G40" s="13"/>
      <c r="H40" s="13"/>
      <c r="I40" s="13"/>
      <c r="J40" s="13"/>
      <c r="L40" s="48" t="s">
        <v>1308</v>
      </c>
      <c r="O40" s="7" t="s">
        <v>984</v>
      </c>
    </row>
    <row r="41" spans="1:15" x14ac:dyDescent="0.55000000000000004">
      <c r="A41" s="7" t="s">
        <v>983</v>
      </c>
      <c r="B41" s="6" t="s">
        <v>17</v>
      </c>
      <c r="C41" s="6">
        <v>1</v>
      </c>
      <c r="D41" s="6">
        <v>20</v>
      </c>
      <c r="E41" s="13"/>
      <c r="F41" s="13"/>
      <c r="G41" s="13"/>
      <c r="H41" s="13"/>
      <c r="I41" s="13"/>
      <c r="J41" s="13"/>
      <c r="O41" s="7" t="s">
        <v>985</v>
      </c>
    </row>
    <row r="42" spans="1:15" x14ac:dyDescent="0.55000000000000004">
      <c r="A42" s="7" t="s">
        <v>984</v>
      </c>
      <c r="B42" s="6" t="s">
        <v>17</v>
      </c>
      <c r="C42" s="6">
        <v>1</v>
      </c>
      <c r="D42" s="6">
        <v>20</v>
      </c>
      <c r="E42" s="13"/>
      <c r="F42" s="13"/>
      <c r="G42" s="13"/>
      <c r="H42" s="13"/>
      <c r="I42" s="13"/>
      <c r="J42" s="13"/>
      <c r="L42" t="s">
        <v>1598</v>
      </c>
      <c r="O42" s="7" t="s">
        <v>986</v>
      </c>
    </row>
    <row r="43" spans="1:15" x14ac:dyDescent="0.55000000000000004">
      <c r="A43" s="7" t="s">
        <v>985</v>
      </c>
      <c r="B43" s="6" t="s">
        <v>17</v>
      </c>
      <c r="C43" s="6">
        <v>1</v>
      </c>
      <c r="D43" s="6">
        <v>20</v>
      </c>
      <c r="E43" s="13"/>
      <c r="F43" s="13"/>
      <c r="G43" s="13"/>
      <c r="H43" s="13"/>
      <c r="I43" s="13"/>
      <c r="J43" s="13"/>
      <c r="L43">
        <v>27</v>
      </c>
      <c r="O43" s="7" t="s">
        <v>987</v>
      </c>
    </row>
    <row r="44" spans="1:15" x14ac:dyDescent="0.55000000000000004">
      <c r="A44" s="7" t="s">
        <v>986</v>
      </c>
      <c r="B44" s="6" t="s">
        <v>17</v>
      </c>
      <c r="C44" s="6">
        <v>1</v>
      </c>
      <c r="D44" s="6">
        <v>20</v>
      </c>
      <c r="E44" s="13"/>
      <c r="F44" s="13"/>
      <c r="G44" s="13"/>
      <c r="H44" s="13"/>
      <c r="I44" s="13"/>
      <c r="J44" s="13"/>
      <c r="O44" s="7" t="s">
        <v>988</v>
      </c>
    </row>
    <row r="45" spans="1:15" x14ac:dyDescent="0.55000000000000004">
      <c r="A45" s="7" t="s">
        <v>987</v>
      </c>
      <c r="B45" s="6" t="s">
        <v>17</v>
      </c>
      <c r="C45" s="6">
        <v>1</v>
      </c>
      <c r="D45" s="6">
        <v>20</v>
      </c>
      <c r="E45" s="13"/>
      <c r="F45" s="13"/>
      <c r="G45" s="13"/>
      <c r="H45" s="13"/>
      <c r="I45" s="13"/>
      <c r="J45" s="13"/>
      <c r="O45" s="7" t="s">
        <v>1632</v>
      </c>
    </row>
    <row r="46" spans="1:15" x14ac:dyDescent="0.55000000000000004">
      <c r="A46" s="7" t="s">
        <v>988</v>
      </c>
      <c r="B46" s="6" t="s">
        <v>17</v>
      </c>
      <c r="C46" s="6">
        <v>1</v>
      </c>
      <c r="D46" s="6">
        <v>20</v>
      </c>
      <c r="E46" s="13"/>
      <c r="F46" s="13"/>
      <c r="G46" s="13"/>
      <c r="H46" s="13"/>
      <c r="I46" s="13"/>
      <c r="J46" s="13"/>
      <c r="O46" s="7" t="s">
        <v>1640</v>
      </c>
    </row>
    <row r="47" spans="1:15" x14ac:dyDescent="0.55000000000000004">
      <c r="A47" s="7" t="s">
        <v>1632</v>
      </c>
      <c r="B47" s="6" t="s">
        <v>17</v>
      </c>
      <c r="C47" s="6">
        <v>1</v>
      </c>
      <c r="D47" s="6">
        <v>20</v>
      </c>
      <c r="E47" s="13"/>
      <c r="F47" s="13"/>
      <c r="G47" s="13"/>
      <c r="H47" s="13"/>
      <c r="I47" s="13"/>
      <c r="J47" s="13"/>
      <c r="O47" s="7" t="s">
        <v>1648</v>
      </c>
    </row>
    <row r="48" spans="1:15" x14ac:dyDescent="0.55000000000000004">
      <c r="A48" s="7" t="s">
        <v>1640</v>
      </c>
      <c r="B48" s="6" t="s">
        <v>17</v>
      </c>
      <c r="C48" s="6">
        <v>1</v>
      </c>
      <c r="D48" s="6">
        <v>20</v>
      </c>
      <c r="E48" s="13"/>
      <c r="F48" s="13"/>
      <c r="G48" s="13"/>
      <c r="H48" s="13"/>
      <c r="I48" s="13"/>
      <c r="J48" s="13"/>
      <c r="O48" s="7" t="s">
        <v>1656</v>
      </c>
    </row>
    <row r="49" spans="1:15" x14ac:dyDescent="0.55000000000000004">
      <c r="A49" s="7" t="s">
        <v>1648</v>
      </c>
      <c r="B49" s="6" t="s">
        <v>17</v>
      </c>
      <c r="C49" s="6">
        <v>1</v>
      </c>
      <c r="D49" s="6">
        <v>20</v>
      </c>
      <c r="E49" s="13"/>
      <c r="F49" s="13"/>
      <c r="G49" s="13"/>
      <c r="H49" s="13"/>
      <c r="I49" s="13"/>
      <c r="J49" s="13"/>
      <c r="O49" s="6" t="s">
        <v>394</v>
      </c>
    </row>
    <row r="50" spans="1:15" x14ac:dyDescent="0.55000000000000004">
      <c r="A50" s="7" t="s">
        <v>1656</v>
      </c>
      <c r="B50" s="6" t="s">
        <v>17</v>
      </c>
      <c r="C50" s="6">
        <v>1</v>
      </c>
      <c r="D50" s="6">
        <v>20</v>
      </c>
      <c r="E50" s="13"/>
      <c r="F50" s="13"/>
      <c r="G50" s="13"/>
      <c r="H50" s="13"/>
      <c r="I50" s="13"/>
      <c r="J50" s="13"/>
      <c r="O50" s="6" t="s">
        <v>456</v>
      </c>
    </row>
    <row r="51" spans="1:15" x14ac:dyDescent="0.55000000000000004">
      <c r="A51" s="15"/>
      <c r="B51" s="15"/>
      <c r="C51" s="15"/>
      <c r="D51" s="15"/>
      <c r="E51" s="13"/>
      <c r="F51" s="13"/>
      <c r="G51" s="13"/>
      <c r="H51" s="13"/>
      <c r="I51" s="13"/>
      <c r="J51" s="13"/>
      <c r="O51" s="7" t="s">
        <v>989</v>
      </c>
    </row>
    <row r="52" spans="1:15" x14ac:dyDescent="0.55000000000000004">
      <c r="A52" s="13" t="s">
        <v>1306</v>
      </c>
      <c r="B52" s="13" t="s">
        <v>1302</v>
      </c>
      <c r="C52" s="13" t="s">
        <v>1303</v>
      </c>
      <c r="D52" s="13" t="s">
        <v>1304</v>
      </c>
      <c r="E52" s="13"/>
      <c r="F52" s="13"/>
      <c r="G52" s="13"/>
      <c r="H52" s="13"/>
      <c r="I52" s="13"/>
      <c r="J52" s="13"/>
      <c r="O52" s="7" t="s">
        <v>991</v>
      </c>
    </row>
    <row r="53" spans="1:15" x14ac:dyDescent="0.55000000000000004">
      <c r="A53" s="7" t="s">
        <v>989</v>
      </c>
      <c r="B53" s="6" t="s">
        <v>17</v>
      </c>
      <c r="C53" s="6">
        <v>1</v>
      </c>
      <c r="D53" s="6">
        <v>20</v>
      </c>
      <c r="E53" s="13"/>
      <c r="F53" s="13"/>
      <c r="G53" s="13"/>
      <c r="H53" s="13"/>
      <c r="I53" s="13"/>
      <c r="J53" s="13"/>
      <c r="O53" s="7" t="s">
        <v>993</v>
      </c>
    </row>
    <row r="54" spans="1:15" x14ac:dyDescent="0.55000000000000004">
      <c r="A54" s="7" t="s">
        <v>991</v>
      </c>
      <c r="B54" s="6" t="s">
        <v>17</v>
      </c>
      <c r="C54" s="6">
        <v>1</v>
      </c>
      <c r="D54" s="6">
        <v>20</v>
      </c>
      <c r="E54" s="13"/>
      <c r="F54" s="13"/>
      <c r="G54" s="13"/>
      <c r="H54" s="13"/>
      <c r="I54" s="13"/>
      <c r="J54" s="13"/>
      <c r="O54" s="7" t="s">
        <v>995</v>
      </c>
    </row>
    <row r="55" spans="1:15" x14ac:dyDescent="0.55000000000000004">
      <c r="A55" s="7" t="s">
        <v>993</v>
      </c>
      <c r="B55" s="6" t="s">
        <v>17</v>
      </c>
      <c r="C55" s="6">
        <v>1</v>
      </c>
      <c r="D55" s="6">
        <v>20</v>
      </c>
      <c r="E55" s="13"/>
      <c r="F55" s="13"/>
      <c r="G55" s="13"/>
      <c r="H55" s="13"/>
      <c r="I55" s="13"/>
      <c r="J55" s="13"/>
      <c r="O55" s="7" t="s">
        <v>997</v>
      </c>
    </row>
    <row r="56" spans="1:15" x14ac:dyDescent="0.55000000000000004">
      <c r="A56" s="7" t="s">
        <v>995</v>
      </c>
      <c r="B56" s="6" t="s">
        <v>17</v>
      </c>
      <c r="C56" s="6">
        <v>1</v>
      </c>
      <c r="D56" s="6">
        <v>20</v>
      </c>
      <c r="E56" s="13"/>
      <c r="F56" s="13"/>
      <c r="G56" s="13"/>
      <c r="H56" s="13"/>
      <c r="I56" s="13"/>
      <c r="J56" s="13"/>
      <c r="O56" s="7" t="s">
        <v>999</v>
      </c>
    </row>
    <row r="57" spans="1:15" x14ac:dyDescent="0.55000000000000004">
      <c r="A57" s="7" t="s">
        <v>997</v>
      </c>
      <c r="B57" s="6" t="s">
        <v>17</v>
      </c>
      <c r="C57" s="6">
        <v>1</v>
      </c>
      <c r="D57" s="6">
        <v>20</v>
      </c>
      <c r="E57" s="13"/>
      <c r="F57" s="13"/>
      <c r="G57" s="13"/>
      <c r="H57" s="13"/>
      <c r="I57" s="13"/>
      <c r="J57" s="13"/>
      <c r="O57" s="7" t="s">
        <v>1000</v>
      </c>
    </row>
    <row r="58" spans="1:15" x14ac:dyDescent="0.55000000000000004">
      <c r="A58" s="7" t="s">
        <v>999</v>
      </c>
      <c r="B58" s="6" t="s">
        <v>17</v>
      </c>
      <c r="C58" s="6">
        <v>1</v>
      </c>
      <c r="D58" s="6">
        <v>20</v>
      </c>
      <c r="E58" s="13"/>
      <c r="F58" s="13"/>
      <c r="G58" s="13"/>
      <c r="H58" s="13"/>
      <c r="I58" s="13"/>
      <c r="J58" s="13"/>
      <c r="O58" s="7" t="s">
        <v>1001</v>
      </c>
    </row>
    <row r="59" spans="1:15" x14ac:dyDescent="0.55000000000000004">
      <c r="A59" s="7" t="s">
        <v>1000</v>
      </c>
      <c r="B59" s="6" t="s">
        <v>2</v>
      </c>
      <c r="C59" s="6">
        <v>0.05</v>
      </c>
      <c r="D59" s="6">
        <v>1</v>
      </c>
      <c r="E59" s="13"/>
      <c r="F59" s="13"/>
      <c r="G59" s="13"/>
      <c r="H59" s="13"/>
      <c r="I59" s="13"/>
      <c r="J59" s="13"/>
      <c r="O59" s="7" t="s">
        <v>1449</v>
      </c>
    </row>
    <row r="60" spans="1:15" x14ac:dyDescent="0.55000000000000004">
      <c r="A60" s="7" t="s">
        <v>1001</v>
      </c>
      <c r="B60" s="6" t="s">
        <v>2</v>
      </c>
      <c r="C60" s="6">
        <v>0.05</v>
      </c>
      <c r="D60" s="6">
        <v>1</v>
      </c>
      <c r="E60" s="13"/>
      <c r="F60" s="13"/>
      <c r="G60" s="13"/>
      <c r="H60" s="13"/>
      <c r="I60" s="13"/>
      <c r="J60" s="13"/>
      <c r="O60" s="7" t="s">
        <v>1002</v>
      </c>
    </row>
    <row r="61" spans="1:15" x14ac:dyDescent="0.55000000000000004">
      <c r="A61" s="7" t="s">
        <v>1449</v>
      </c>
      <c r="B61" s="6" t="s">
        <v>2</v>
      </c>
      <c r="C61" s="6">
        <v>0.05</v>
      </c>
      <c r="D61" s="6">
        <v>1</v>
      </c>
      <c r="E61" s="13"/>
      <c r="F61" s="13"/>
      <c r="G61" s="13"/>
      <c r="H61" s="13"/>
      <c r="I61" s="13"/>
      <c r="J61" s="13"/>
      <c r="O61" s="7" t="s">
        <v>1003</v>
      </c>
    </row>
    <row r="62" spans="1:15" x14ac:dyDescent="0.55000000000000004">
      <c r="A62" s="7" t="s">
        <v>1002</v>
      </c>
      <c r="B62" s="6" t="s">
        <v>17</v>
      </c>
      <c r="C62" s="6">
        <v>1</v>
      </c>
      <c r="D62" s="6">
        <v>20</v>
      </c>
      <c r="E62" s="13"/>
      <c r="F62" s="13"/>
      <c r="G62" s="13"/>
      <c r="H62" s="13"/>
      <c r="I62" s="13"/>
      <c r="J62" s="13"/>
      <c r="O62" s="7" t="s">
        <v>1004</v>
      </c>
    </row>
    <row r="63" spans="1:15" x14ac:dyDescent="0.55000000000000004">
      <c r="A63" s="7" t="s">
        <v>1003</v>
      </c>
      <c r="B63" s="6" t="s">
        <v>17</v>
      </c>
      <c r="C63" s="6">
        <v>1</v>
      </c>
      <c r="D63" s="6">
        <v>20</v>
      </c>
      <c r="E63" s="13"/>
      <c r="F63" s="13"/>
      <c r="G63" s="13"/>
      <c r="H63" s="13"/>
      <c r="I63" s="13"/>
      <c r="J63" s="13"/>
      <c r="O63" s="7" t="s">
        <v>1005</v>
      </c>
    </row>
    <row r="64" spans="1:15" x14ac:dyDescent="0.55000000000000004">
      <c r="A64" s="7" t="s">
        <v>1004</v>
      </c>
      <c r="B64" s="6" t="s">
        <v>17</v>
      </c>
      <c r="C64" s="6">
        <v>1</v>
      </c>
      <c r="D64" s="6">
        <v>20</v>
      </c>
      <c r="E64" s="13"/>
      <c r="F64" s="13"/>
      <c r="G64" s="13"/>
      <c r="H64" s="13"/>
      <c r="I64" s="13"/>
      <c r="J64" s="13"/>
      <c r="O64" s="7" t="s">
        <v>1006</v>
      </c>
    </row>
    <row r="65" spans="1:15" x14ac:dyDescent="0.55000000000000004">
      <c r="A65" s="7" t="s">
        <v>1005</v>
      </c>
      <c r="B65" s="6" t="s">
        <v>17</v>
      </c>
      <c r="C65" s="6">
        <v>1</v>
      </c>
      <c r="D65" s="6">
        <v>20</v>
      </c>
      <c r="E65" s="13"/>
      <c r="F65" s="13"/>
      <c r="G65" s="13"/>
      <c r="H65" s="13"/>
      <c r="I65" s="13"/>
      <c r="J65" s="13"/>
      <c r="O65" s="7" t="s">
        <v>1007</v>
      </c>
    </row>
    <row r="66" spans="1:15" x14ac:dyDescent="0.55000000000000004">
      <c r="A66" s="7" t="s">
        <v>1006</v>
      </c>
      <c r="B66" s="6" t="s">
        <v>17</v>
      </c>
      <c r="C66" s="6">
        <v>1</v>
      </c>
      <c r="D66" s="6">
        <v>20</v>
      </c>
      <c r="E66" s="13"/>
      <c r="F66" s="13"/>
      <c r="G66" s="13"/>
      <c r="H66" s="13"/>
      <c r="I66" s="13"/>
      <c r="J66" s="13"/>
      <c r="O66" s="7" t="s">
        <v>1008</v>
      </c>
    </row>
    <row r="67" spans="1:15" x14ac:dyDescent="0.55000000000000004">
      <c r="A67" s="7" t="s">
        <v>1007</v>
      </c>
      <c r="B67" s="6" t="s">
        <v>17</v>
      </c>
      <c r="C67" s="6">
        <v>1</v>
      </c>
      <c r="D67" s="6">
        <v>20</v>
      </c>
      <c r="E67" s="13"/>
      <c r="F67" s="13"/>
      <c r="G67" s="13"/>
      <c r="H67" s="13"/>
      <c r="I67" s="13"/>
      <c r="J67" s="13"/>
      <c r="O67" s="7" t="s">
        <v>1009</v>
      </c>
    </row>
    <row r="68" spans="1:15" x14ac:dyDescent="0.55000000000000004">
      <c r="A68" s="7" t="s">
        <v>1008</v>
      </c>
      <c r="B68" s="6" t="s">
        <v>17</v>
      </c>
      <c r="C68" s="6">
        <v>1</v>
      </c>
      <c r="D68" s="6">
        <v>20</v>
      </c>
      <c r="E68" s="13"/>
      <c r="F68" s="13"/>
      <c r="G68" s="13"/>
      <c r="H68" s="13"/>
      <c r="I68" s="13"/>
      <c r="J68" s="13"/>
      <c r="O68" s="7" t="s">
        <v>1533</v>
      </c>
    </row>
    <row r="69" spans="1:15" x14ac:dyDescent="0.55000000000000004">
      <c r="A69" s="7" t="s">
        <v>1009</v>
      </c>
      <c r="B69" s="6" t="s">
        <v>17</v>
      </c>
      <c r="C69" s="6">
        <v>1</v>
      </c>
      <c r="D69" s="6">
        <v>20</v>
      </c>
      <c r="E69" s="13"/>
      <c r="F69" s="13"/>
      <c r="G69" s="13"/>
      <c r="H69" s="13"/>
      <c r="I69" s="13"/>
      <c r="J69" s="13"/>
      <c r="O69" s="40" t="s">
        <v>1534</v>
      </c>
    </row>
    <row r="70" spans="1:15" x14ac:dyDescent="0.55000000000000004">
      <c r="A70" s="7" t="s">
        <v>1533</v>
      </c>
      <c r="B70" s="6" t="s">
        <v>17</v>
      </c>
      <c r="C70" s="6">
        <v>1</v>
      </c>
      <c r="D70" s="6">
        <v>20</v>
      </c>
      <c r="E70" s="13"/>
      <c r="F70" s="13"/>
      <c r="G70" s="13"/>
      <c r="H70" s="13"/>
      <c r="I70" s="13"/>
      <c r="J70" s="13"/>
      <c r="O70" s="7" t="s">
        <v>1010</v>
      </c>
    </row>
    <row r="71" spans="1:15" x14ac:dyDescent="0.55000000000000004">
      <c r="A71" s="40" t="s">
        <v>1534</v>
      </c>
      <c r="B71" s="6" t="s">
        <v>17</v>
      </c>
      <c r="C71" s="6">
        <v>1</v>
      </c>
      <c r="D71" s="6">
        <v>20</v>
      </c>
      <c r="E71" s="13"/>
      <c r="F71" s="13"/>
      <c r="G71" s="13"/>
      <c r="H71" s="13"/>
      <c r="I71" s="13"/>
      <c r="J71" s="13"/>
      <c r="O71" s="7" t="s">
        <v>1011</v>
      </c>
    </row>
    <row r="72" spans="1:15" x14ac:dyDescent="0.55000000000000004">
      <c r="A72" s="7" t="s">
        <v>1010</v>
      </c>
      <c r="B72" s="6" t="s">
        <v>17</v>
      </c>
      <c r="C72" s="6">
        <v>1</v>
      </c>
      <c r="D72" s="6">
        <v>20</v>
      </c>
      <c r="E72" s="13"/>
      <c r="F72" s="13"/>
      <c r="G72" s="13"/>
      <c r="H72" s="13"/>
      <c r="I72" s="13"/>
      <c r="J72" s="13"/>
      <c r="O72" s="7" t="s">
        <v>1012</v>
      </c>
    </row>
    <row r="73" spans="1:15" x14ac:dyDescent="0.55000000000000004">
      <c r="A73" s="7" t="s">
        <v>1011</v>
      </c>
      <c r="B73" s="6" t="s">
        <v>17</v>
      </c>
      <c r="C73" s="6">
        <v>1</v>
      </c>
      <c r="D73" s="6">
        <v>20</v>
      </c>
      <c r="E73" s="13"/>
      <c r="F73" s="13"/>
      <c r="G73" s="13"/>
      <c r="H73" s="13"/>
      <c r="I73" s="13"/>
      <c r="J73" s="13"/>
      <c r="O73" s="7" t="s">
        <v>1013</v>
      </c>
    </row>
    <row r="74" spans="1:15" x14ac:dyDescent="0.55000000000000004">
      <c r="A74" s="7" t="s">
        <v>1012</v>
      </c>
      <c r="B74" s="6" t="s">
        <v>17</v>
      </c>
      <c r="C74" s="6">
        <v>1</v>
      </c>
      <c r="D74" s="6">
        <v>20</v>
      </c>
      <c r="E74" s="13"/>
      <c r="F74" s="13"/>
      <c r="G74" s="13"/>
      <c r="H74" s="13"/>
      <c r="I74" s="13"/>
      <c r="J74" s="13"/>
      <c r="O74" s="7" t="s">
        <v>1014</v>
      </c>
    </row>
    <row r="75" spans="1:15" x14ac:dyDescent="0.55000000000000004">
      <c r="A75" s="7" t="s">
        <v>1013</v>
      </c>
      <c r="B75" s="6" t="s">
        <v>17</v>
      </c>
      <c r="C75" s="6">
        <v>1</v>
      </c>
      <c r="D75" s="6">
        <v>20</v>
      </c>
      <c r="E75" s="13"/>
      <c r="F75" s="13"/>
      <c r="G75" s="13"/>
      <c r="H75" s="13"/>
      <c r="I75" s="13"/>
      <c r="J75" s="13"/>
      <c r="O75" s="7" t="s">
        <v>1015</v>
      </c>
    </row>
    <row r="76" spans="1:15" x14ac:dyDescent="0.55000000000000004">
      <c r="A76" s="7" t="s">
        <v>1014</v>
      </c>
      <c r="B76" s="6" t="s">
        <v>17</v>
      </c>
      <c r="C76" s="6">
        <v>1</v>
      </c>
      <c r="D76" s="6">
        <v>20</v>
      </c>
      <c r="E76" s="15"/>
      <c r="F76" s="15"/>
      <c r="G76" s="15"/>
      <c r="H76" s="15"/>
      <c r="I76" s="15"/>
      <c r="J76" s="15"/>
      <c r="O76" s="7" t="s">
        <v>1016</v>
      </c>
    </row>
    <row r="77" spans="1:15" x14ac:dyDescent="0.55000000000000004">
      <c r="A77" s="7" t="s">
        <v>1015</v>
      </c>
      <c r="B77" s="6" t="s">
        <v>17</v>
      </c>
      <c r="C77" s="6">
        <v>1</v>
      </c>
      <c r="D77" s="6">
        <v>20</v>
      </c>
      <c r="E77" s="15"/>
      <c r="F77" s="15"/>
      <c r="G77" s="15"/>
      <c r="H77" s="15"/>
      <c r="I77" s="15"/>
      <c r="J77" s="15"/>
      <c r="O77" s="7" t="s">
        <v>1539</v>
      </c>
    </row>
    <row r="78" spans="1:15" x14ac:dyDescent="0.55000000000000004">
      <c r="A78" s="7" t="s">
        <v>1016</v>
      </c>
      <c r="B78" s="6" t="s">
        <v>17</v>
      </c>
      <c r="C78" s="6">
        <v>1</v>
      </c>
      <c r="D78" s="6">
        <v>20</v>
      </c>
      <c r="E78" s="15"/>
      <c r="F78" s="15"/>
      <c r="G78" s="15"/>
      <c r="H78" s="15"/>
      <c r="I78" s="15"/>
      <c r="J78" s="15"/>
    </row>
    <row r="79" spans="1:15" x14ac:dyDescent="0.55000000000000004">
      <c r="A79" s="7" t="s">
        <v>1539</v>
      </c>
      <c r="B79" s="6" t="s">
        <v>17</v>
      </c>
      <c r="C79" s="6">
        <v>1</v>
      </c>
      <c r="D79" s="6">
        <v>20</v>
      </c>
      <c r="E79" s="15"/>
      <c r="F79" s="15"/>
      <c r="G79" s="15"/>
      <c r="H79" s="15"/>
      <c r="I79" s="15"/>
      <c r="J79" s="15"/>
    </row>
  </sheetData>
  <hyperlinks>
    <hyperlink ref="Q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10</xdr:col>
                    <xdr:colOff>601980</xdr:colOff>
                    <xdr:row>1</xdr:row>
                    <xdr:rowOff>68580</xdr:rowOff>
                  </from>
                  <to>
                    <xdr:col>11</xdr:col>
                    <xdr:colOff>1630680</xdr:colOff>
                    <xdr:row>5</xdr:row>
                    <xdr:rowOff>87630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71" workbookViewId="0">
      <selection activeCell="V32" sqref="V32"/>
    </sheetView>
  </sheetViews>
  <sheetFormatPr defaultRowHeight="14.4" x14ac:dyDescent="0.55000000000000004"/>
  <sheetData>
    <row r="1" spans="1:24" x14ac:dyDescent="0.55000000000000004">
      <c r="A1" s="51" t="s">
        <v>1312</v>
      </c>
      <c r="B1" s="51"/>
      <c r="C1" s="51"/>
      <c r="D1" s="51"/>
      <c r="E1" s="51"/>
      <c r="F1" s="51"/>
      <c r="G1" s="51"/>
      <c r="H1" s="51"/>
      <c r="I1" s="51"/>
      <c r="J1" s="51"/>
      <c r="K1" s="51"/>
      <c r="L1" s="51"/>
      <c r="M1" s="51"/>
      <c r="N1" s="51"/>
      <c r="O1" s="51"/>
      <c r="P1" s="51"/>
      <c r="Q1" s="51"/>
      <c r="R1" s="51"/>
      <c r="S1" s="51"/>
    </row>
    <row r="2" spans="1:24" x14ac:dyDescent="0.55000000000000004">
      <c r="A2" s="51" t="s">
        <v>1313</v>
      </c>
      <c r="B2" s="51"/>
      <c r="C2" s="51"/>
      <c r="D2" s="51"/>
      <c r="E2" s="51"/>
      <c r="F2" s="51"/>
      <c r="G2" s="51"/>
      <c r="H2" s="51"/>
      <c r="I2" s="51"/>
      <c r="J2" s="51"/>
      <c r="K2" s="51"/>
      <c r="L2" s="51"/>
      <c r="M2" s="51"/>
      <c r="N2" s="51"/>
      <c r="O2" s="51"/>
      <c r="P2" s="51"/>
      <c r="Q2" s="51"/>
      <c r="R2" s="51"/>
      <c r="S2" s="51"/>
      <c r="X2" t="s">
        <v>1613</v>
      </c>
    </row>
    <row r="3" spans="1:24" x14ac:dyDescent="0.55000000000000004">
      <c r="A3" s="51" t="s">
        <v>1353</v>
      </c>
      <c r="B3" s="51" t="s">
        <v>1354</v>
      </c>
      <c r="C3" s="51"/>
      <c r="D3" s="51"/>
      <c r="E3" s="51"/>
      <c r="F3" s="51"/>
      <c r="G3" s="51"/>
      <c r="H3" s="51"/>
      <c r="I3" s="51"/>
      <c r="J3" s="51"/>
      <c r="K3" s="51"/>
      <c r="L3" s="51"/>
      <c r="M3" s="51"/>
      <c r="N3" s="51"/>
      <c r="O3" s="51"/>
      <c r="P3" s="51"/>
      <c r="Q3" s="51"/>
      <c r="R3" s="51"/>
      <c r="S3" s="51"/>
      <c r="X3" s="78" t="s">
        <v>1612</v>
      </c>
    </row>
    <row r="4" spans="1:24" x14ac:dyDescent="0.55000000000000004">
      <c r="A4" s="52"/>
      <c r="B4" s="7">
        <v>0.125</v>
      </c>
      <c r="C4" s="51"/>
      <c r="D4" s="51"/>
      <c r="E4" s="51"/>
      <c r="F4" s="51"/>
      <c r="G4" s="51"/>
      <c r="H4" s="51"/>
      <c r="I4" s="51"/>
      <c r="J4" s="51"/>
      <c r="K4" s="51"/>
      <c r="L4" s="51"/>
      <c r="M4" s="51"/>
      <c r="N4" s="51"/>
      <c r="O4" s="51"/>
      <c r="P4" s="51"/>
      <c r="Q4" s="51"/>
      <c r="R4" s="51"/>
      <c r="S4" s="51"/>
    </row>
    <row r="5" spans="1:24" x14ac:dyDescent="0.55000000000000004">
      <c r="A5" s="51" t="s">
        <v>1314</v>
      </c>
      <c r="B5" s="51"/>
      <c r="C5" s="51"/>
      <c r="D5" s="51"/>
      <c r="E5" s="51"/>
      <c r="F5" s="51"/>
      <c r="G5" s="51"/>
      <c r="H5" s="51"/>
      <c r="I5" s="51"/>
      <c r="J5" s="51"/>
      <c r="K5" s="51"/>
      <c r="L5" s="51"/>
      <c r="M5" s="51"/>
      <c r="N5" s="51"/>
      <c r="O5" s="51"/>
      <c r="P5" s="51"/>
      <c r="Q5" s="51"/>
      <c r="R5" s="51"/>
      <c r="S5" s="51"/>
    </row>
    <row r="6" spans="1:24" x14ac:dyDescent="0.55000000000000004">
      <c r="A6" s="52" t="s">
        <v>1315</v>
      </c>
      <c r="B6" s="52" t="s">
        <v>1316</v>
      </c>
      <c r="C6" s="52" t="s">
        <v>1317</v>
      </c>
      <c r="D6" s="52" t="s">
        <v>1318</v>
      </c>
      <c r="E6" s="51"/>
      <c r="F6" s="51"/>
      <c r="G6" s="51"/>
      <c r="H6" s="51"/>
      <c r="I6" s="51"/>
      <c r="J6" s="51"/>
      <c r="K6" s="51"/>
      <c r="L6" s="51"/>
      <c r="M6" s="51"/>
      <c r="N6" s="51"/>
      <c r="O6" s="51"/>
      <c r="P6" s="51"/>
      <c r="Q6" s="51"/>
      <c r="R6" s="51"/>
      <c r="S6" s="51"/>
    </row>
    <row r="7" spans="1:24" x14ac:dyDescent="0.55000000000000004">
      <c r="A7" s="52"/>
      <c r="B7" s="7" t="s">
        <v>2</v>
      </c>
      <c r="C7" s="7">
        <v>4</v>
      </c>
      <c r="D7" s="7">
        <v>1</v>
      </c>
      <c r="E7" s="51"/>
      <c r="F7" s="51"/>
      <c r="G7" s="51"/>
      <c r="H7" s="51"/>
      <c r="I7" s="51"/>
      <c r="J7" s="51"/>
      <c r="K7" s="51"/>
      <c r="L7" s="51"/>
      <c r="M7" s="51"/>
      <c r="N7" s="51"/>
      <c r="O7" s="51"/>
      <c r="P7" s="51"/>
      <c r="Q7" s="51"/>
      <c r="R7" s="51"/>
      <c r="S7" s="51"/>
    </row>
    <row r="8" spans="1:24" x14ac:dyDescent="0.55000000000000004">
      <c r="A8" s="51"/>
      <c r="B8" s="51"/>
      <c r="C8" s="51"/>
      <c r="D8" s="51"/>
      <c r="E8" s="51"/>
      <c r="F8" s="51"/>
      <c r="G8" s="51"/>
      <c r="H8" s="51"/>
      <c r="I8" s="51"/>
      <c r="J8" s="51"/>
      <c r="K8" s="51"/>
      <c r="L8" s="51"/>
      <c r="M8" s="51"/>
      <c r="N8" s="51"/>
      <c r="O8" s="51"/>
      <c r="P8" s="51"/>
      <c r="Q8" s="51"/>
      <c r="R8" s="51"/>
      <c r="S8" s="51"/>
    </row>
    <row r="9" spans="1:24" x14ac:dyDescent="0.55000000000000004">
      <c r="A9" s="52" t="s">
        <v>1319</v>
      </c>
      <c r="B9" s="52" t="s">
        <v>1320</v>
      </c>
      <c r="C9" s="52" t="s">
        <v>1321</v>
      </c>
      <c r="D9" s="52" t="s">
        <v>1322</v>
      </c>
      <c r="E9" s="52" t="s">
        <v>1323</v>
      </c>
      <c r="F9" s="52" t="s">
        <v>1324</v>
      </c>
      <c r="G9" s="52" t="s">
        <v>1325</v>
      </c>
      <c r="H9" s="52" t="s">
        <v>1294</v>
      </c>
      <c r="I9" s="52" t="s">
        <v>1326</v>
      </c>
      <c r="J9" s="52" t="s">
        <v>1327</v>
      </c>
      <c r="K9" s="52" t="s">
        <v>1328</v>
      </c>
      <c r="L9" s="52" t="s">
        <v>1329</v>
      </c>
      <c r="M9" s="52" t="s">
        <v>1330</v>
      </c>
      <c r="N9" s="51" t="s">
        <v>1331</v>
      </c>
      <c r="O9" s="51" t="s">
        <v>1332</v>
      </c>
      <c r="P9" s="51" t="s">
        <v>1333</v>
      </c>
      <c r="Q9" s="51" t="s">
        <v>1334</v>
      </c>
      <c r="R9" s="51" t="s">
        <v>1335</v>
      </c>
      <c r="S9" s="51" t="s">
        <v>1336</v>
      </c>
    </row>
    <row r="10" spans="1:24" x14ac:dyDescent="0.55000000000000004">
      <c r="A10" s="52">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2">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2">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2">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1" t="s">
        <v>394</v>
      </c>
      <c r="B14" s="51"/>
      <c r="C14" s="51"/>
      <c r="D14" s="51"/>
      <c r="E14" s="51"/>
      <c r="F14" s="51"/>
      <c r="G14" s="51"/>
      <c r="H14" s="51"/>
      <c r="I14" s="51"/>
      <c r="J14" s="51"/>
      <c r="K14" s="51"/>
      <c r="L14" s="51"/>
      <c r="M14" s="51"/>
      <c r="N14" s="51"/>
      <c r="O14" s="51"/>
      <c r="P14" s="51"/>
      <c r="Q14" s="51"/>
      <c r="R14" s="51"/>
      <c r="S14" s="51"/>
    </row>
    <row r="15" spans="1:24" x14ac:dyDescent="0.55000000000000004">
      <c r="A15" s="52" t="s">
        <v>1337</v>
      </c>
      <c r="B15" s="52" t="s">
        <v>1338</v>
      </c>
      <c r="C15" s="52" t="s">
        <v>1339</v>
      </c>
      <c r="D15" s="52" t="s">
        <v>1340</v>
      </c>
      <c r="E15" s="51"/>
      <c r="F15" s="51"/>
      <c r="G15" s="51"/>
      <c r="H15" s="51"/>
      <c r="I15" s="51"/>
      <c r="J15" s="51"/>
      <c r="K15" s="51"/>
      <c r="L15" s="51"/>
      <c r="M15" s="51"/>
      <c r="N15" s="51"/>
      <c r="O15" s="51"/>
      <c r="P15" s="51"/>
      <c r="Q15" s="51"/>
      <c r="R15" s="51"/>
      <c r="S15" s="51"/>
    </row>
    <row r="16" spans="1:24" x14ac:dyDescent="0.55000000000000004">
      <c r="A16" s="52">
        <v>1</v>
      </c>
      <c r="B16" s="7">
        <v>0</v>
      </c>
      <c r="C16" s="7">
        <v>-185</v>
      </c>
      <c r="D16" s="7" t="s">
        <v>17</v>
      </c>
      <c r="E16" s="51"/>
      <c r="F16" s="51"/>
      <c r="G16" s="51"/>
      <c r="H16" s="51"/>
      <c r="I16" s="51"/>
      <c r="J16" s="51"/>
      <c r="K16" s="51"/>
      <c r="L16" s="51"/>
      <c r="M16" s="51"/>
      <c r="N16" s="51"/>
      <c r="O16" s="51"/>
      <c r="P16" s="51"/>
      <c r="Q16" s="51"/>
      <c r="R16" s="51"/>
      <c r="S16" s="51"/>
    </row>
    <row r="17" spans="1:20" x14ac:dyDescent="0.55000000000000004">
      <c r="A17" s="52">
        <v>2</v>
      </c>
      <c r="B17" s="7">
        <v>0</v>
      </c>
      <c r="C17" s="7">
        <v>-185</v>
      </c>
      <c r="D17" s="7" t="s">
        <v>17</v>
      </c>
      <c r="E17" s="51"/>
      <c r="F17" s="51"/>
      <c r="G17" s="51"/>
      <c r="H17" s="51"/>
      <c r="I17" s="51"/>
      <c r="J17" s="51"/>
      <c r="K17" s="51"/>
      <c r="L17" s="51"/>
      <c r="M17" s="51"/>
      <c r="N17" s="51"/>
      <c r="O17" s="51"/>
      <c r="P17" s="51"/>
      <c r="Q17" s="51"/>
      <c r="R17" s="51"/>
      <c r="S17" s="51"/>
    </row>
    <row r="18" spans="1:20" x14ac:dyDescent="0.55000000000000004">
      <c r="A18" s="52">
        <v>3</v>
      </c>
      <c r="B18" s="7">
        <v>0</v>
      </c>
      <c r="C18" s="7">
        <v>-185</v>
      </c>
      <c r="D18" s="7" t="s">
        <v>17</v>
      </c>
      <c r="E18" s="51"/>
      <c r="F18" s="51"/>
      <c r="G18" s="51"/>
      <c r="H18" s="51"/>
      <c r="I18" s="51"/>
      <c r="J18" s="51"/>
      <c r="K18" s="51"/>
      <c r="L18" s="51"/>
      <c r="M18" s="51"/>
      <c r="N18" s="51"/>
      <c r="O18" s="51"/>
      <c r="P18" s="51"/>
      <c r="Q18" s="51"/>
      <c r="R18" s="51"/>
      <c r="S18" s="51"/>
    </row>
    <row r="19" spans="1:20" x14ac:dyDescent="0.55000000000000004">
      <c r="A19" s="52">
        <v>4</v>
      </c>
      <c r="B19" s="7">
        <v>0</v>
      </c>
      <c r="C19" s="7">
        <v>-185</v>
      </c>
      <c r="D19" s="7" t="s">
        <v>17</v>
      </c>
      <c r="E19" s="51"/>
      <c r="F19" s="51"/>
      <c r="G19" s="51"/>
      <c r="H19" s="51"/>
      <c r="I19" s="51"/>
      <c r="J19" s="51"/>
      <c r="K19" s="51"/>
      <c r="L19" s="51"/>
      <c r="M19" s="51"/>
      <c r="N19" s="51"/>
      <c r="O19" s="51"/>
      <c r="P19" s="51"/>
      <c r="Q19" s="51"/>
      <c r="R19" s="51"/>
      <c r="S19" s="51"/>
    </row>
    <row r="20" spans="1:20" x14ac:dyDescent="0.55000000000000004">
      <c r="A20" s="51"/>
      <c r="B20" s="51"/>
      <c r="C20" s="51"/>
      <c r="D20" s="51"/>
      <c r="E20" s="51"/>
      <c r="F20" s="51"/>
      <c r="G20" s="51"/>
      <c r="H20" s="51"/>
      <c r="I20" s="51"/>
      <c r="J20" s="51"/>
      <c r="K20" s="51"/>
      <c r="L20" s="51"/>
      <c r="M20" s="51"/>
      <c r="N20" s="51"/>
      <c r="O20" s="51"/>
      <c r="P20" s="51"/>
      <c r="Q20" s="51"/>
      <c r="R20" s="51"/>
      <c r="S20" s="51"/>
      <c r="T20" t="s">
        <v>1557</v>
      </c>
    </row>
    <row r="21" spans="1:20" x14ac:dyDescent="0.55000000000000004">
      <c r="A21" s="52" t="s">
        <v>1341</v>
      </c>
      <c r="B21" s="52"/>
      <c r="C21" s="52" t="s">
        <v>1555</v>
      </c>
      <c r="D21" s="51"/>
      <c r="E21" s="51"/>
      <c r="F21" s="51"/>
      <c r="G21" s="51"/>
      <c r="H21" s="51"/>
      <c r="I21" s="51"/>
      <c r="J21" s="51"/>
      <c r="K21" s="51"/>
      <c r="L21" s="51"/>
      <c r="M21" s="51"/>
      <c r="N21" s="51"/>
      <c r="O21" s="51"/>
      <c r="P21" s="51"/>
      <c r="Q21" s="51"/>
      <c r="R21" s="51"/>
      <c r="S21" s="51"/>
      <c r="T21" t="s">
        <v>1556</v>
      </c>
    </row>
    <row r="22" spans="1:20" x14ac:dyDescent="0.55000000000000004">
      <c r="A22" s="52">
        <v>1</v>
      </c>
      <c r="B22" s="7" t="s">
        <v>17</v>
      </c>
      <c r="C22" s="7">
        <v>0</v>
      </c>
      <c r="D22" s="51"/>
      <c r="E22" s="51"/>
      <c r="F22" s="51"/>
      <c r="G22" s="51"/>
      <c r="H22" s="51"/>
      <c r="I22" s="51"/>
      <c r="J22" s="51"/>
      <c r="K22" s="51"/>
      <c r="L22" s="51"/>
      <c r="M22" s="51"/>
      <c r="N22" s="51"/>
      <c r="O22" s="51"/>
      <c r="P22" s="51"/>
      <c r="Q22" s="51"/>
      <c r="R22" s="51"/>
      <c r="S22" s="51"/>
    </row>
    <row r="23" spans="1:20" x14ac:dyDescent="0.55000000000000004">
      <c r="A23" s="52">
        <v>2</v>
      </c>
      <c r="B23" s="7" t="s">
        <v>17</v>
      </c>
      <c r="C23" s="7">
        <v>0</v>
      </c>
      <c r="D23" s="51"/>
      <c r="E23" s="51"/>
      <c r="F23" s="51"/>
      <c r="G23" s="51"/>
      <c r="H23" s="51"/>
      <c r="I23" s="51"/>
      <c r="J23" s="51"/>
      <c r="K23" s="51"/>
      <c r="L23" s="51"/>
      <c r="M23" s="51"/>
      <c r="N23" s="51"/>
      <c r="O23" s="51"/>
      <c r="P23" s="51"/>
      <c r="Q23" s="51"/>
      <c r="R23" s="51"/>
      <c r="S23" s="51"/>
    </row>
    <row r="24" spans="1:20" x14ac:dyDescent="0.55000000000000004">
      <c r="A24" s="52">
        <v>3</v>
      </c>
      <c r="B24" s="7" t="s">
        <v>17</v>
      </c>
      <c r="C24" s="7">
        <v>0</v>
      </c>
      <c r="D24" s="51"/>
      <c r="E24" s="51"/>
      <c r="F24" s="51"/>
      <c r="G24" s="51"/>
      <c r="H24" s="51"/>
      <c r="I24" s="51"/>
      <c r="J24" s="51"/>
      <c r="K24" s="51"/>
      <c r="L24" s="51"/>
      <c r="M24" s="51"/>
      <c r="N24" s="51"/>
      <c r="O24" s="51"/>
      <c r="P24" s="51"/>
      <c r="Q24" s="51"/>
      <c r="R24" s="51"/>
      <c r="S24" s="51"/>
    </row>
    <row r="25" spans="1:20" x14ac:dyDescent="0.55000000000000004">
      <c r="A25" s="52">
        <v>4</v>
      </c>
      <c r="B25" s="7" t="s">
        <v>17</v>
      </c>
      <c r="C25" s="7">
        <v>0</v>
      </c>
      <c r="D25" s="51"/>
      <c r="E25" s="51"/>
      <c r="F25" s="51"/>
      <c r="G25" s="51"/>
      <c r="H25" s="51"/>
      <c r="I25" s="51"/>
      <c r="J25" s="51"/>
      <c r="K25" s="51"/>
      <c r="L25" s="51"/>
      <c r="M25" s="51"/>
      <c r="N25" s="51"/>
      <c r="O25" s="51"/>
      <c r="P25" s="51"/>
      <c r="Q25" s="51"/>
      <c r="R25" s="51"/>
      <c r="S25" s="51"/>
    </row>
    <row r="26" spans="1:20" x14ac:dyDescent="0.55000000000000004">
      <c r="A26" s="51"/>
      <c r="B26" s="51"/>
      <c r="C26" s="51"/>
      <c r="D26" s="51"/>
      <c r="E26" s="51"/>
      <c r="F26" s="51"/>
      <c r="G26" s="51"/>
      <c r="H26" s="51"/>
      <c r="I26" s="51"/>
      <c r="J26" s="51"/>
      <c r="K26" s="51"/>
      <c r="L26" s="51"/>
      <c r="M26" s="51"/>
      <c r="N26" s="51"/>
      <c r="O26" s="51"/>
      <c r="P26" s="51"/>
      <c r="Q26" s="51"/>
      <c r="R26" s="51"/>
      <c r="S26" s="51"/>
    </row>
    <row r="27" spans="1:20" x14ac:dyDescent="0.55000000000000004">
      <c r="A27" s="52" t="s">
        <v>1342</v>
      </c>
      <c r="B27" s="52" t="s">
        <v>1343</v>
      </c>
      <c r="C27" s="52" t="s">
        <v>1317</v>
      </c>
      <c r="D27" s="51"/>
      <c r="E27" s="51"/>
      <c r="F27" s="51"/>
      <c r="G27" s="51"/>
      <c r="H27" s="51"/>
      <c r="I27" s="51"/>
      <c r="J27" s="51"/>
      <c r="K27" s="51"/>
      <c r="L27" s="51"/>
      <c r="M27" s="51"/>
      <c r="N27" s="51"/>
      <c r="O27" s="51"/>
      <c r="P27" s="51"/>
      <c r="Q27" s="51"/>
      <c r="R27" s="51"/>
      <c r="S27" s="51"/>
    </row>
    <row r="28" spans="1:20" x14ac:dyDescent="0.55000000000000004">
      <c r="A28" s="52"/>
      <c r="B28" s="7" t="s">
        <v>17</v>
      </c>
      <c r="C28" s="7">
        <v>1</v>
      </c>
      <c r="D28" s="51"/>
      <c r="E28" s="51"/>
      <c r="F28" s="51"/>
      <c r="G28" s="51"/>
      <c r="H28" s="51"/>
      <c r="I28" s="51"/>
      <c r="J28" s="51"/>
      <c r="K28" s="51"/>
      <c r="L28" s="51"/>
      <c r="M28" s="51"/>
      <c r="N28" s="51"/>
      <c r="O28" s="51"/>
      <c r="P28" s="51"/>
      <c r="Q28" s="51"/>
      <c r="R28" s="51"/>
      <c r="S28" s="51"/>
    </row>
    <row r="29" spans="1:20" x14ac:dyDescent="0.55000000000000004">
      <c r="A29" s="51"/>
      <c r="B29" s="51"/>
      <c r="C29" s="51"/>
      <c r="D29" s="51"/>
      <c r="E29" s="51"/>
      <c r="F29" s="51"/>
      <c r="G29" s="51"/>
      <c r="H29" s="51"/>
      <c r="I29" s="51"/>
      <c r="J29" s="51"/>
      <c r="K29" s="51"/>
      <c r="L29" s="51"/>
      <c r="M29" s="51"/>
      <c r="N29" s="51"/>
      <c r="O29" s="51"/>
      <c r="P29" s="51"/>
      <c r="Q29" s="51"/>
      <c r="R29" s="51"/>
      <c r="S29" s="51"/>
    </row>
    <row r="30" spans="1:20" x14ac:dyDescent="0.55000000000000004">
      <c r="A30" s="52" t="s">
        <v>1344</v>
      </c>
      <c r="B30" s="52" t="s">
        <v>1320</v>
      </c>
      <c r="C30" s="52" t="s">
        <v>1321</v>
      </c>
      <c r="D30" s="52" t="s">
        <v>1323</v>
      </c>
      <c r="E30" s="52" t="s">
        <v>1324</v>
      </c>
      <c r="F30" s="52" t="s">
        <v>1325</v>
      </c>
      <c r="G30" s="52" t="s">
        <v>1345</v>
      </c>
      <c r="H30" s="52" t="s">
        <v>1346</v>
      </c>
      <c r="I30" s="52" t="s">
        <v>1347</v>
      </c>
      <c r="J30" s="52" t="s">
        <v>1348</v>
      </c>
      <c r="K30" s="52" t="s">
        <v>1349</v>
      </c>
      <c r="L30" s="52" t="s">
        <v>1366</v>
      </c>
      <c r="M30" s="51"/>
      <c r="N30" s="51"/>
      <c r="O30" s="51"/>
      <c r="P30" s="51"/>
      <c r="Q30" s="51"/>
      <c r="R30" s="51"/>
      <c r="S30" s="51"/>
    </row>
    <row r="31" spans="1:20" x14ac:dyDescent="0.55000000000000004">
      <c r="A31" s="52">
        <v>1</v>
      </c>
      <c r="B31" s="7" t="s">
        <v>40</v>
      </c>
      <c r="C31" s="7">
        <v>1</v>
      </c>
      <c r="D31" s="7" t="s">
        <v>2</v>
      </c>
      <c r="E31" s="7">
        <v>10</v>
      </c>
      <c r="F31" s="7">
        <v>45</v>
      </c>
      <c r="G31" s="7">
        <v>12</v>
      </c>
      <c r="H31" s="7">
        <v>2</v>
      </c>
      <c r="I31" s="7">
        <v>1</v>
      </c>
      <c r="J31" s="7">
        <v>1</v>
      </c>
      <c r="K31" s="7" t="s">
        <v>17</v>
      </c>
      <c r="L31" s="7" t="s">
        <v>17</v>
      </c>
      <c r="M31" s="51"/>
      <c r="N31" s="51"/>
      <c r="O31" s="51"/>
      <c r="P31" s="51"/>
      <c r="Q31" s="51"/>
      <c r="R31" s="51"/>
      <c r="S31" s="51"/>
    </row>
    <row r="32" spans="1:20" x14ac:dyDescent="0.55000000000000004">
      <c r="A32" s="51"/>
      <c r="B32" s="51"/>
      <c r="C32" s="51"/>
      <c r="D32" s="51"/>
      <c r="E32" s="51"/>
      <c r="F32" s="51"/>
      <c r="G32" s="51"/>
      <c r="H32" s="51"/>
      <c r="I32" s="51"/>
      <c r="J32" s="51"/>
      <c r="K32" s="51"/>
      <c r="L32" s="51"/>
      <c r="M32" s="51"/>
      <c r="N32" s="51"/>
      <c r="O32" s="51"/>
      <c r="P32" s="51"/>
      <c r="Q32" s="51"/>
      <c r="R32" s="51"/>
      <c r="S32" s="51"/>
    </row>
    <row r="33" spans="1:20" x14ac:dyDescent="0.55000000000000004">
      <c r="A33" s="52" t="s">
        <v>1350</v>
      </c>
      <c r="B33" s="52" t="s">
        <v>1351</v>
      </c>
      <c r="C33" s="51"/>
      <c r="D33" s="51"/>
      <c r="E33" s="51"/>
      <c r="F33" s="51"/>
      <c r="G33" s="51"/>
      <c r="H33" s="51"/>
      <c r="I33" s="51"/>
      <c r="J33" s="51"/>
      <c r="K33" s="51"/>
      <c r="L33" s="51"/>
      <c r="M33" s="51"/>
      <c r="N33" s="51"/>
      <c r="O33" s="51"/>
      <c r="P33" s="51"/>
      <c r="Q33" s="51"/>
      <c r="R33" s="51"/>
      <c r="S33" s="51"/>
    </row>
    <row r="34" spans="1:20" x14ac:dyDescent="0.55000000000000004">
      <c r="A34" s="52"/>
      <c r="B34" s="7">
        <v>2</v>
      </c>
      <c r="C34" s="51"/>
      <c r="D34" s="51"/>
      <c r="E34" s="51"/>
      <c r="F34" s="51"/>
      <c r="G34" s="51"/>
      <c r="H34" s="51"/>
      <c r="I34" s="51"/>
      <c r="J34" s="51"/>
      <c r="K34" s="51"/>
      <c r="L34" s="51"/>
      <c r="M34" s="51"/>
      <c r="N34" s="51"/>
      <c r="O34" s="51"/>
      <c r="P34" s="51"/>
      <c r="Q34" s="51"/>
      <c r="R34" s="51"/>
      <c r="S34" s="51"/>
    </row>
    <row r="35" spans="1:20" x14ac:dyDescent="0.55000000000000004">
      <c r="A35" s="51"/>
      <c r="B35" s="51"/>
      <c r="C35" s="51"/>
      <c r="D35" s="51"/>
      <c r="E35" s="51"/>
      <c r="F35" s="51"/>
      <c r="G35" s="51"/>
      <c r="H35" s="51"/>
      <c r="I35" s="51"/>
      <c r="J35" s="51"/>
      <c r="K35" s="51"/>
      <c r="L35" s="51"/>
      <c r="M35" s="51"/>
      <c r="N35" s="51"/>
      <c r="O35" s="51"/>
      <c r="P35" s="51"/>
      <c r="Q35" s="51"/>
      <c r="R35" s="51"/>
      <c r="S35" s="51"/>
    </row>
    <row r="36" spans="1:20" x14ac:dyDescent="0.55000000000000004">
      <c r="A36" s="52" t="s">
        <v>1352</v>
      </c>
      <c r="B36" s="52" t="s">
        <v>1356</v>
      </c>
      <c r="C36" s="52" t="s">
        <v>1357</v>
      </c>
      <c r="D36" s="52" t="s">
        <v>1358</v>
      </c>
      <c r="E36" s="52" t="s">
        <v>1359</v>
      </c>
      <c r="F36" s="52" t="s">
        <v>1360</v>
      </c>
      <c r="G36" s="52" t="s">
        <v>1361</v>
      </c>
      <c r="H36" s="52" t="s">
        <v>1362</v>
      </c>
      <c r="I36" s="52" t="s">
        <v>1363</v>
      </c>
      <c r="J36" s="52" t="s">
        <v>1364</v>
      </c>
      <c r="K36" s="52" t="s">
        <v>1365</v>
      </c>
      <c r="L36" s="51"/>
      <c r="M36" s="51"/>
      <c r="N36" s="51"/>
      <c r="O36" s="51"/>
      <c r="P36" s="51"/>
      <c r="Q36" s="51"/>
      <c r="R36" s="51"/>
      <c r="S36" s="51"/>
      <c r="T36" t="s">
        <v>1355</v>
      </c>
    </row>
    <row r="37" spans="1:20" x14ac:dyDescent="0.55000000000000004">
      <c r="A37" s="52">
        <v>1</v>
      </c>
      <c r="B37" s="7">
        <v>11.11</v>
      </c>
      <c r="C37" s="7">
        <v>11.11</v>
      </c>
      <c r="D37" s="52"/>
      <c r="E37" s="52"/>
      <c r="F37" s="52"/>
      <c r="G37" s="52"/>
      <c r="H37" s="52"/>
      <c r="I37" s="52"/>
      <c r="J37" s="52"/>
      <c r="K37" s="52"/>
      <c r="L37" s="51"/>
      <c r="M37" s="51"/>
      <c r="N37" s="51"/>
      <c r="O37" s="51"/>
      <c r="P37" s="51"/>
      <c r="Q37" s="51"/>
      <c r="R37" s="51"/>
      <c r="S37" s="51"/>
    </row>
    <row r="38" spans="1:20" x14ac:dyDescent="0.55000000000000004">
      <c r="A38" s="52">
        <v>2</v>
      </c>
      <c r="B38" s="7">
        <v>15.55</v>
      </c>
      <c r="C38" s="7">
        <v>15.55</v>
      </c>
      <c r="D38" s="52"/>
      <c r="E38" s="52"/>
      <c r="F38" s="52"/>
      <c r="G38" s="52"/>
      <c r="H38" s="52"/>
      <c r="I38" s="52"/>
      <c r="J38" s="52"/>
      <c r="K38" s="52"/>
      <c r="L38" s="51"/>
      <c r="M38" s="51"/>
      <c r="N38" s="51"/>
      <c r="O38" s="51"/>
      <c r="P38" s="51"/>
      <c r="Q38" s="51"/>
      <c r="R38" s="51"/>
      <c r="S38" s="5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68580</xdr:rowOff>
                  </from>
                  <to>
                    <xdr:col>22</xdr:col>
                    <xdr:colOff>438150</xdr:colOff>
                    <xdr:row>5</xdr:row>
                    <xdr:rowOff>87630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 customWidth="1"/>
    <col min="2" max="2" width="15.578125" customWidth="1"/>
  </cols>
  <sheetData>
    <row r="1" spans="1:9" x14ac:dyDescent="0.55000000000000004">
      <c r="A1" s="53" t="s">
        <v>1392</v>
      </c>
      <c r="B1" s="53" t="s">
        <v>1367</v>
      </c>
      <c r="C1" s="53"/>
    </row>
    <row r="2" spans="1:9" x14ac:dyDescent="0.55000000000000004">
      <c r="A2" s="53" t="s">
        <v>17</v>
      </c>
      <c r="B2" s="53">
        <v>1</v>
      </c>
      <c r="C2" s="53"/>
      <c r="I2" t="s">
        <v>1613</v>
      </c>
    </row>
    <row r="3" spans="1:9" x14ac:dyDescent="0.55000000000000004">
      <c r="A3" s="53" t="s">
        <v>1368</v>
      </c>
      <c r="B3" s="53" t="s">
        <v>1369</v>
      </c>
      <c r="C3" s="53"/>
      <c r="I3" s="78" t="s">
        <v>1612</v>
      </c>
    </row>
    <row r="4" spans="1:9" x14ac:dyDescent="0.55000000000000004">
      <c r="A4" s="53">
        <v>10</v>
      </c>
      <c r="B4" s="53">
        <v>115</v>
      </c>
      <c r="C4" s="53"/>
    </row>
    <row r="6" spans="1:9" x14ac:dyDescent="0.55000000000000004">
      <c r="D6" t="s">
        <v>1393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68580</xdr:rowOff>
                  </from>
                  <to>
                    <xdr:col>6</xdr:col>
                    <xdr:colOff>438150</xdr:colOff>
                    <xdr:row>4</xdr:row>
                    <xdr:rowOff>87630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H47" sqref="H47"/>
    </sheetView>
  </sheetViews>
  <sheetFormatPr defaultRowHeight="14.4" x14ac:dyDescent="0.55000000000000004"/>
  <sheetData>
    <row r="1" spans="1:15" x14ac:dyDescent="0.55000000000000004">
      <c r="A1" s="55" t="s">
        <v>1370</v>
      </c>
      <c r="B1" s="55"/>
      <c r="C1" s="55"/>
      <c r="D1" s="55"/>
      <c r="E1" s="55"/>
      <c r="F1" s="55"/>
      <c r="G1" s="55"/>
      <c r="H1" s="55"/>
      <c r="I1" s="55"/>
      <c r="J1" s="55"/>
    </row>
    <row r="2" spans="1:15" x14ac:dyDescent="0.55000000000000004">
      <c r="A2" s="55" t="s">
        <v>1371</v>
      </c>
      <c r="B2" s="55" t="s">
        <v>1372</v>
      </c>
      <c r="C2" s="55" t="s">
        <v>1373</v>
      </c>
      <c r="D2" s="55" t="s">
        <v>1374</v>
      </c>
      <c r="E2" s="55" t="s">
        <v>1375</v>
      </c>
      <c r="F2" s="55" t="s">
        <v>1353</v>
      </c>
      <c r="G2" s="55" t="s">
        <v>1376</v>
      </c>
      <c r="H2" s="55" t="s">
        <v>1377</v>
      </c>
      <c r="I2" s="55" t="s">
        <v>1378</v>
      </c>
      <c r="J2" s="55" t="s">
        <v>1379</v>
      </c>
      <c r="O2" t="s">
        <v>1613</v>
      </c>
    </row>
    <row r="3" spans="1:15" x14ac:dyDescent="0.55000000000000004">
      <c r="A3" s="56" t="s">
        <v>2</v>
      </c>
      <c r="B3" s="56">
        <v>3</v>
      </c>
      <c r="C3" s="56">
        <v>5</v>
      </c>
      <c r="D3" s="56" t="s">
        <v>2</v>
      </c>
      <c r="E3" s="56" t="s">
        <v>17</v>
      </c>
      <c r="F3" s="56">
        <v>1</v>
      </c>
      <c r="G3" s="56">
        <v>1</v>
      </c>
      <c r="H3" s="56">
        <v>0</v>
      </c>
      <c r="I3" s="56">
        <v>0</v>
      </c>
      <c r="J3" s="56">
        <v>0</v>
      </c>
      <c r="O3" s="78" t="s">
        <v>1612</v>
      </c>
    </row>
    <row r="4" spans="1:15" x14ac:dyDescent="0.55000000000000004">
      <c r="A4" s="57" t="s">
        <v>1380</v>
      </c>
      <c r="B4" s="57" t="s">
        <v>1381</v>
      </c>
      <c r="C4" s="57" t="s">
        <v>1382</v>
      </c>
      <c r="D4" s="57" t="s">
        <v>1383</v>
      </c>
      <c r="E4" s="57" t="s">
        <v>1384</v>
      </c>
      <c r="F4" s="57" t="s">
        <v>1385</v>
      </c>
      <c r="G4" s="57" t="s">
        <v>1386</v>
      </c>
      <c r="H4" s="57" t="s">
        <v>1387</v>
      </c>
      <c r="I4" s="55"/>
      <c r="J4" s="55"/>
    </row>
    <row r="5" spans="1:15" x14ac:dyDescent="0.55000000000000004">
      <c r="A5" s="56">
        <v>1</v>
      </c>
      <c r="B5" s="56">
        <v>15</v>
      </c>
      <c r="C5" s="56">
        <v>100</v>
      </c>
      <c r="D5" s="56">
        <v>120</v>
      </c>
      <c r="E5" s="56">
        <v>0</v>
      </c>
      <c r="F5" s="56">
        <v>0</v>
      </c>
      <c r="G5" s="56">
        <v>0</v>
      </c>
      <c r="H5" s="56">
        <v>100.5</v>
      </c>
      <c r="I5" s="55"/>
      <c r="J5" s="55"/>
    </row>
    <row r="6" spans="1:15" x14ac:dyDescent="0.55000000000000004">
      <c r="A6" s="56">
        <v>2</v>
      </c>
      <c r="B6" s="56">
        <v>16</v>
      </c>
      <c r="C6" s="56">
        <v>100</v>
      </c>
      <c r="D6" s="56">
        <v>120</v>
      </c>
      <c r="E6" s="56">
        <v>0</v>
      </c>
      <c r="F6" s="56">
        <v>0</v>
      </c>
      <c r="G6" s="56">
        <v>0</v>
      </c>
      <c r="H6" s="56">
        <v>100.5</v>
      </c>
      <c r="I6" s="55"/>
      <c r="J6" s="55"/>
    </row>
    <row r="7" spans="1:15" x14ac:dyDescent="0.55000000000000004">
      <c r="A7" s="56">
        <v>3</v>
      </c>
      <c r="B7" s="56">
        <v>17</v>
      </c>
      <c r="C7" s="56">
        <v>100</v>
      </c>
      <c r="D7" s="56">
        <v>120</v>
      </c>
      <c r="E7" s="56">
        <v>0</v>
      </c>
      <c r="F7" s="56">
        <v>0</v>
      </c>
      <c r="G7" s="56">
        <v>0</v>
      </c>
      <c r="H7" s="56">
        <v>100.5</v>
      </c>
      <c r="I7" s="55"/>
      <c r="J7" s="55"/>
    </row>
    <row r="8" spans="1:15" x14ac:dyDescent="0.55000000000000004">
      <c r="A8" s="56" t="s">
        <v>1388</v>
      </c>
      <c r="B8" s="55"/>
      <c r="C8" s="55"/>
      <c r="D8" s="55"/>
      <c r="E8" s="55"/>
      <c r="F8" s="55"/>
      <c r="G8" s="55"/>
      <c r="H8" s="55"/>
      <c r="I8" s="55"/>
      <c r="J8" s="55"/>
    </row>
    <row r="9" spans="1:15" x14ac:dyDescent="0.55000000000000004">
      <c r="A9" s="56">
        <v>20</v>
      </c>
      <c r="B9" s="55"/>
      <c r="C9" s="55"/>
      <c r="D9" s="55"/>
      <c r="E9" s="55"/>
      <c r="F9" s="55"/>
      <c r="G9" s="55"/>
      <c r="H9" s="55"/>
      <c r="I9" s="55"/>
      <c r="J9" s="55"/>
    </row>
    <row r="10" spans="1:15" x14ac:dyDescent="0.55000000000000004">
      <c r="A10" s="56" t="s">
        <v>1292</v>
      </c>
      <c r="B10" s="56" t="s">
        <v>1293</v>
      </c>
      <c r="C10" s="56" t="s">
        <v>1295</v>
      </c>
      <c r="D10" s="56" t="s">
        <v>1296</v>
      </c>
      <c r="E10" s="56" t="s">
        <v>1298</v>
      </c>
      <c r="F10" s="56" t="s">
        <v>1299</v>
      </c>
      <c r="G10" s="55"/>
      <c r="H10" s="55"/>
      <c r="I10" s="55"/>
      <c r="J10" s="55"/>
    </row>
    <row r="11" spans="1:15" x14ac:dyDescent="0.55000000000000004">
      <c r="A11" s="56">
        <v>0.05</v>
      </c>
      <c r="B11" s="56">
        <v>0.5</v>
      </c>
      <c r="C11" s="56">
        <v>1</v>
      </c>
      <c r="D11" s="56">
        <v>20</v>
      </c>
      <c r="E11" s="56">
        <v>0.5</v>
      </c>
      <c r="F11" s="56">
        <v>10</v>
      </c>
      <c r="G11" s="55"/>
      <c r="H11" s="55"/>
      <c r="I11" s="55"/>
      <c r="J11" s="55"/>
    </row>
    <row r="12" spans="1:15" x14ac:dyDescent="0.55000000000000004">
      <c r="A12" s="56" t="s">
        <v>1389</v>
      </c>
      <c r="B12" s="55"/>
      <c r="C12" s="55"/>
      <c r="D12" s="55"/>
      <c r="E12" s="55"/>
      <c r="F12" s="55"/>
      <c r="G12" s="55"/>
      <c r="H12" s="55"/>
      <c r="I12" s="55"/>
      <c r="J12" s="55"/>
    </row>
    <row r="13" spans="1:15" x14ac:dyDescent="0.55000000000000004">
      <c r="A13" s="56">
        <v>2</v>
      </c>
      <c r="B13" s="55"/>
      <c r="C13" s="55"/>
      <c r="D13" s="55"/>
      <c r="E13" s="55"/>
      <c r="F13" s="55"/>
      <c r="G13" s="55"/>
      <c r="H13" s="55"/>
      <c r="I13" s="55"/>
      <c r="J13" s="55"/>
    </row>
    <row r="14" spans="1:15" x14ac:dyDescent="0.55000000000000004">
      <c r="A14" s="56" t="s">
        <v>1390</v>
      </c>
      <c r="B14" s="55"/>
      <c r="C14" s="55"/>
      <c r="D14" s="55"/>
      <c r="E14" s="55"/>
      <c r="F14" s="55"/>
      <c r="G14" s="55"/>
      <c r="H14" s="55"/>
      <c r="I14" s="55"/>
      <c r="J14" s="55"/>
    </row>
    <row r="15" spans="1:15" x14ac:dyDescent="0.55000000000000004">
      <c r="A15" s="56">
        <v>30</v>
      </c>
      <c r="B15" s="56">
        <v>60</v>
      </c>
      <c r="C15" s="55"/>
      <c r="D15" s="55"/>
      <c r="E15" s="55"/>
      <c r="F15" s="55"/>
      <c r="G15" s="55"/>
      <c r="H15" s="55"/>
      <c r="I15" s="55"/>
      <c r="J15" s="55"/>
    </row>
    <row r="16" spans="1:15" x14ac:dyDescent="0.55000000000000004">
      <c r="A16" s="56" t="s">
        <v>1391</v>
      </c>
      <c r="B16" s="55"/>
      <c r="C16" s="55"/>
      <c r="D16" s="55"/>
      <c r="E16" s="55"/>
      <c r="F16" s="55"/>
      <c r="G16" s="55"/>
      <c r="H16" s="55"/>
      <c r="I16" s="55"/>
      <c r="J16" s="55"/>
    </row>
    <row r="17" spans="1:10" x14ac:dyDescent="0.55000000000000004">
      <c r="A17" s="56">
        <v>10</v>
      </c>
      <c r="B17" s="56">
        <v>5</v>
      </c>
      <c r="C17" s="55"/>
      <c r="D17" s="55"/>
      <c r="E17" s="55"/>
      <c r="F17" s="55"/>
      <c r="G17" s="55"/>
      <c r="H17" s="55"/>
      <c r="I17" s="55"/>
      <c r="J17" s="55"/>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68580</xdr:rowOff>
                  </from>
                  <to>
                    <xdr:col>13</xdr:col>
                    <xdr:colOff>438150</xdr:colOff>
                    <xdr:row>5</xdr:row>
                    <xdr:rowOff>87630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FD28D-E390-4C48-B46A-B3EF8D45D39E}">
  <dimension ref="A1:O143"/>
  <sheetViews>
    <sheetView workbookViewId="0">
      <selection activeCell="M3" sqref="M3"/>
    </sheetView>
  </sheetViews>
  <sheetFormatPr defaultRowHeight="14.4" x14ac:dyDescent="0.55000000000000004"/>
  <cols>
    <col min="1" max="1" width="68.05078125" bestFit="1" customWidth="1"/>
  </cols>
  <sheetData>
    <row r="1" spans="1:15" x14ac:dyDescent="0.55000000000000004">
      <c r="A1" s="59" t="s">
        <v>1882</v>
      </c>
      <c r="B1" s="53"/>
      <c r="C1" s="53"/>
      <c r="D1" s="53"/>
      <c r="E1" s="53"/>
      <c r="F1" s="53"/>
      <c r="G1" s="53"/>
      <c r="H1" s="107"/>
    </row>
    <row r="2" spans="1:15" x14ac:dyDescent="0.55000000000000004">
      <c r="A2" s="59" t="s">
        <v>1883</v>
      </c>
      <c r="B2" s="53"/>
      <c r="C2" s="53"/>
      <c r="D2" s="53"/>
      <c r="E2" s="53"/>
      <c r="F2" s="53"/>
      <c r="G2" s="53"/>
      <c r="H2" s="107"/>
      <c r="M2" t="s">
        <v>1613</v>
      </c>
    </row>
    <row r="3" spans="1:15" x14ac:dyDescent="0.55000000000000004">
      <c r="A3" s="59" t="s">
        <v>1884</v>
      </c>
      <c r="B3" s="53"/>
      <c r="C3" s="53"/>
      <c r="D3" s="53"/>
      <c r="E3" s="53"/>
      <c r="F3" s="53"/>
      <c r="G3" s="53"/>
      <c r="H3" s="107"/>
      <c r="M3" s="78" t="s">
        <v>1612</v>
      </c>
    </row>
    <row r="4" spans="1:15" x14ac:dyDescent="0.55000000000000004">
      <c r="A4" s="59" t="s">
        <v>1885</v>
      </c>
      <c r="B4" s="53"/>
      <c r="C4" s="53"/>
      <c r="D4" s="53"/>
      <c r="E4" s="53"/>
      <c r="F4" s="53"/>
      <c r="G4" s="53"/>
      <c r="H4" s="107"/>
    </row>
    <row r="5" spans="1:15" x14ac:dyDescent="0.55000000000000004">
      <c r="A5" s="53" t="s">
        <v>1886</v>
      </c>
      <c r="B5" s="7" t="s">
        <v>1887</v>
      </c>
      <c r="C5" s="53"/>
      <c r="D5" s="53"/>
      <c r="E5" s="53"/>
      <c r="F5" s="53"/>
      <c r="G5" s="53"/>
      <c r="H5" s="107"/>
    </row>
    <row r="6" spans="1:15" x14ac:dyDescent="0.55000000000000004">
      <c r="A6" s="53" t="s">
        <v>1888</v>
      </c>
      <c r="B6" s="7" t="s">
        <v>1889</v>
      </c>
      <c r="C6" s="53"/>
      <c r="D6" s="53"/>
      <c r="E6" s="53"/>
      <c r="F6" s="53"/>
      <c r="G6" s="53"/>
      <c r="H6" s="107"/>
    </row>
    <row r="7" spans="1:15" x14ac:dyDescent="0.55000000000000004">
      <c r="A7" s="13" t="s">
        <v>1890</v>
      </c>
      <c r="B7" s="13">
        <v>5</v>
      </c>
      <c r="C7" s="13"/>
      <c r="D7" s="13"/>
      <c r="E7" s="13"/>
      <c r="F7" s="13"/>
      <c r="G7" s="13"/>
      <c r="H7" s="15"/>
      <c r="I7" s="108">
        <v>1</v>
      </c>
      <c r="J7" t="s">
        <v>1891</v>
      </c>
      <c r="O7" t="s">
        <v>1892</v>
      </c>
    </row>
    <row r="8" spans="1:15" x14ac:dyDescent="0.55000000000000004">
      <c r="A8" s="13" t="s">
        <v>1893</v>
      </c>
      <c r="B8" s="13">
        <v>1</v>
      </c>
      <c r="C8" s="13">
        <v>65</v>
      </c>
      <c r="D8" s="13">
        <v>125</v>
      </c>
      <c r="E8" s="13">
        <v>200</v>
      </c>
      <c r="F8" s="13">
        <v>300</v>
      </c>
      <c r="G8" s="13"/>
      <c r="H8" s="109"/>
      <c r="I8" s="110">
        <v>2</v>
      </c>
      <c r="O8" t="s">
        <v>1894</v>
      </c>
    </row>
    <row r="9" spans="1:15" x14ac:dyDescent="0.55000000000000004">
      <c r="A9" s="13" t="s">
        <v>1895</v>
      </c>
      <c r="B9" s="17">
        <v>50</v>
      </c>
      <c r="C9" s="13">
        <v>100</v>
      </c>
      <c r="D9" s="13">
        <v>175</v>
      </c>
      <c r="E9" s="13">
        <v>250</v>
      </c>
      <c r="F9" s="13">
        <v>400</v>
      </c>
      <c r="G9" s="13"/>
      <c r="H9" s="109"/>
      <c r="I9" s="110">
        <v>3</v>
      </c>
      <c r="O9" t="s">
        <v>1896</v>
      </c>
    </row>
    <row r="10" spans="1:15" x14ac:dyDescent="0.55000000000000004">
      <c r="A10" s="13" t="s">
        <v>1897</v>
      </c>
      <c r="B10" s="13">
        <v>360000</v>
      </c>
      <c r="C10" s="13"/>
      <c r="D10" s="13"/>
      <c r="E10" s="13"/>
      <c r="F10" s="13"/>
      <c r="G10" s="13"/>
      <c r="H10" s="15"/>
      <c r="I10" s="108">
        <v>4</v>
      </c>
      <c r="O10" t="s">
        <v>1898</v>
      </c>
    </row>
    <row r="11" spans="1:15" x14ac:dyDescent="0.55000000000000004">
      <c r="A11" s="13" t="s">
        <v>1899</v>
      </c>
      <c r="B11" s="13">
        <v>0</v>
      </c>
      <c r="C11" s="13"/>
      <c r="D11" s="13"/>
      <c r="E11" s="13"/>
      <c r="F11" s="13"/>
      <c r="G11" s="13"/>
      <c r="H11" s="15"/>
      <c r="I11" s="108">
        <v>5</v>
      </c>
      <c r="O11" t="s">
        <v>1900</v>
      </c>
    </row>
    <row r="12" spans="1:15" x14ac:dyDescent="0.55000000000000004">
      <c r="A12" s="13" t="s">
        <v>1901</v>
      </c>
      <c r="B12" s="111" t="s">
        <v>1902</v>
      </c>
      <c r="C12" s="13"/>
      <c r="D12" s="13"/>
      <c r="E12" s="13"/>
      <c r="F12" s="13"/>
      <c r="G12" s="13"/>
      <c r="H12" s="15"/>
      <c r="I12" s="108">
        <v>6</v>
      </c>
      <c r="O12" t="s">
        <v>1903</v>
      </c>
    </row>
    <row r="13" spans="1:15" x14ac:dyDescent="0.55000000000000004">
      <c r="A13" s="53" t="s">
        <v>1904</v>
      </c>
      <c r="B13" s="7" t="s">
        <v>1889</v>
      </c>
      <c r="C13" s="53"/>
      <c r="D13" s="53"/>
      <c r="E13" s="53"/>
      <c r="F13" s="53"/>
      <c r="G13" s="53"/>
      <c r="H13" s="107"/>
      <c r="J13" t="s">
        <v>1905</v>
      </c>
    </row>
    <row r="14" spans="1:15" x14ac:dyDescent="0.55000000000000004">
      <c r="A14" s="18" t="s">
        <v>1906</v>
      </c>
      <c r="B14" s="18">
        <v>1</v>
      </c>
      <c r="C14" s="18"/>
      <c r="D14" s="18"/>
      <c r="E14" s="18"/>
      <c r="F14" s="18"/>
      <c r="G14" s="18"/>
      <c r="H14" s="112"/>
      <c r="I14" s="110">
        <v>1</v>
      </c>
      <c r="J14" t="s">
        <v>1907</v>
      </c>
      <c r="O14" t="s">
        <v>1908</v>
      </c>
    </row>
    <row r="15" spans="1:15" x14ac:dyDescent="0.55000000000000004">
      <c r="A15" s="113" t="s">
        <v>1909</v>
      </c>
      <c r="B15" s="18">
        <v>6</v>
      </c>
      <c r="C15" s="18"/>
      <c r="D15" s="18"/>
      <c r="E15" s="18"/>
      <c r="F15" s="18"/>
      <c r="G15" s="18"/>
      <c r="H15" s="112"/>
      <c r="I15" s="110">
        <v>2</v>
      </c>
      <c r="O15" t="s">
        <v>1910</v>
      </c>
    </row>
    <row r="16" spans="1:15" x14ac:dyDescent="0.55000000000000004">
      <c r="A16" s="113" t="s">
        <v>1911</v>
      </c>
      <c r="B16" s="18">
        <v>1</v>
      </c>
      <c r="C16" s="18">
        <v>14</v>
      </c>
      <c r="D16" s="18">
        <v>36</v>
      </c>
      <c r="E16" s="18">
        <v>54</v>
      </c>
      <c r="F16" s="18">
        <v>67</v>
      </c>
      <c r="G16" s="18">
        <v>82</v>
      </c>
      <c r="H16" s="112"/>
      <c r="I16" s="110">
        <v>3</v>
      </c>
      <c r="O16" t="s">
        <v>1912</v>
      </c>
    </row>
    <row r="17" spans="1:15" x14ac:dyDescent="0.55000000000000004">
      <c r="A17" s="113" t="s">
        <v>1913</v>
      </c>
      <c r="B17" s="18">
        <v>13</v>
      </c>
      <c r="C17" s="18">
        <v>35</v>
      </c>
      <c r="D17" s="18">
        <v>51</v>
      </c>
      <c r="E17" s="18">
        <v>66</v>
      </c>
      <c r="F17" s="18">
        <v>81</v>
      </c>
      <c r="G17" s="18">
        <v>90</v>
      </c>
      <c r="H17" s="112"/>
      <c r="I17" s="110">
        <v>4</v>
      </c>
      <c r="O17" t="s">
        <v>1914</v>
      </c>
    </row>
    <row r="18" spans="1:15" x14ac:dyDescent="0.55000000000000004">
      <c r="A18" s="18" t="s">
        <v>1915</v>
      </c>
      <c r="B18" s="18">
        <v>1</v>
      </c>
      <c r="C18" s="18">
        <v>1</v>
      </c>
      <c r="D18" s="18">
        <v>1</v>
      </c>
      <c r="E18" s="18">
        <v>1</v>
      </c>
      <c r="F18" s="18">
        <v>1</v>
      </c>
      <c r="G18" s="18">
        <v>1</v>
      </c>
      <c r="H18" s="112"/>
      <c r="I18" s="110">
        <v>5</v>
      </c>
      <c r="O18" t="s">
        <v>1916</v>
      </c>
    </row>
    <row r="19" spans="1:15" x14ac:dyDescent="0.55000000000000004">
      <c r="A19" s="18" t="s">
        <v>1917</v>
      </c>
      <c r="B19" s="18">
        <v>0</v>
      </c>
      <c r="C19" s="18">
        <v>0</v>
      </c>
      <c r="D19" s="18">
        <v>0</v>
      </c>
      <c r="E19" s="18">
        <v>0</v>
      </c>
      <c r="F19" s="18">
        <v>0</v>
      </c>
      <c r="G19" s="18">
        <v>0</v>
      </c>
      <c r="H19" s="112"/>
      <c r="I19" s="110">
        <v>6</v>
      </c>
      <c r="O19" t="s">
        <v>1918</v>
      </c>
    </row>
    <row r="20" spans="1:15" x14ac:dyDescent="0.55000000000000004">
      <c r="A20" s="18" t="s">
        <v>1919</v>
      </c>
      <c r="B20" s="18" t="s">
        <v>1920</v>
      </c>
      <c r="C20" s="114"/>
      <c r="D20" s="114"/>
      <c r="E20" s="114"/>
      <c r="F20" s="114"/>
      <c r="G20" s="114"/>
      <c r="H20" s="115"/>
      <c r="I20" s="110">
        <v>7</v>
      </c>
      <c r="O20" t="s">
        <v>1921</v>
      </c>
    </row>
    <row r="21" spans="1:15" x14ac:dyDescent="0.55000000000000004">
      <c r="A21" s="18" t="s">
        <v>1922</v>
      </c>
      <c r="B21" s="18" t="s">
        <v>1902</v>
      </c>
      <c r="C21" s="114"/>
      <c r="D21" s="114"/>
      <c r="E21" s="114"/>
      <c r="F21" s="114"/>
      <c r="G21" s="114"/>
      <c r="H21" s="116"/>
      <c r="I21" s="108">
        <v>8</v>
      </c>
      <c r="O21" t="s">
        <v>1923</v>
      </c>
    </row>
    <row r="22" spans="1:15" x14ac:dyDescent="0.55000000000000004">
      <c r="A22" s="18" t="s">
        <v>1924</v>
      </c>
      <c r="B22" s="18" t="s">
        <v>1902</v>
      </c>
      <c r="C22" s="114"/>
      <c r="D22" s="114"/>
      <c r="E22" s="114"/>
      <c r="F22" s="114"/>
      <c r="G22" s="114"/>
      <c r="H22" s="116"/>
      <c r="I22" s="108">
        <v>9</v>
      </c>
      <c r="O22" t="s">
        <v>1925</v>
      </c>
    </row>
    <row r="23" spans="1:15" x14ac:dyDescent="0.55000000000000004">
      <c r="A23" s="53" t="s">
        <v>1926</v>
      </c>
      <c r="B23" s="7" t="s">
        <v>1887</v>
      </c>
      <c r="C23" s="53"/>
      <c r="D23" s="53"/>
      <c r="E23" s="53"/>
      <c r="F23" s="53"/>
      <c r="G23" s="53"/>
      <c r="H23" s="107"/>
    </row>
    <row r="24" spans="1:15" x14ac:dyDescent="0.55000000000000004">
      <c r="A24" s="104" t="s">
        <v>1927</v>
      </c>
      <c r="B24" s="104">
        <v>0.2</v>
      </c>
      <c r="C24" s="104"/>
      <c r="D24" s="104"/>
      <c r="E24" s="104"/>
      <c r="F24" s="104"/>
      <c r="G24" s="104"/>
      <c r="H24" s="117"/>
      <c r="I24" s="110">
        <v>1</v>
      </c>
      <c r="J24" t="s">
        <v>1928</v>
      </c>
      <c r="O24" t="s">
        <v>1929</v>
      </c>
    </row>
    <row r="25" spans="1:15" x14ac:dyDescent="0.55000000000000004">
      <c r="A25" s="104" t="s">
        <v>1930</v>
      </c>
      <c r="B25" s="104">
        <v>0.8</v>
      </c>
      <c r="C25" s="104"/>
      <c r="D25" s="104"/>
      <c r="E25" s="104"/>
      <c r="F25" s="104"/>
      <c r="G25" s="104"/>
      <c r="H25" s="117"/>
      <c r="I25" s="110">
        <v>2</v>
      </c>
      <c r="O25" t="s">
        <v>1931</v>
      </c>
    </row>
    <row r="26" spans="1:15" x14ac:dyDescent="0.55000000000000004">
      <c r="A26" s="104" t="s">
        <v>1932</v>
      </c>
      <c r="B26" s="104">
        <v>100</v>
      </c>
      <c r="C26" s="104"/>
      <c r="D26" s="104"/>
      <c r="E26" s="104"/>
      <c r="F26" s="104"/>
      <c r="G26" s="104"/>
      <c r="H26" s="117"/>
      <c r="I26" s="110">
        <v>3</v>
      </c>
      <c r="O26" t="s">
        <v>1933</v>
      </c>
    </row>
    <row r="27" spans="1:15" x14ac:dyDescent="0.55000000000000004">
      <c r="A27" s="104" t="s">
        <v>1934</v>
      </c>
      <c r="B27" s="104">
        <v>2</v>
      </c>
      <c r="C27" s="104"/>
      <c r="D27" s="104"/>
      <c r="E27" s="104"/>
      <c r="F27" s="104"/>
      <c r="G27" s="104"/>
      <c r="H27" s="117"/>
      <c r="I27" s="110">
        <v>4</v>
      </c>
      <c r="O27" t="s">
        <v>1935</v>
      </c>
    </row>
    <row r="28" spans="1:15" x14ac:dyDescent="0.55000000000000004">
      <c r="A28" s="104" t="s">
        <v>1936</v>
      </c>
      <c r="B28" s="104">
        <v>2600</v>
      </c>
      <c r="C28" s="104"/>
      <c r="D28" s="104"/>
      <c r="E28" s="104"/>
      <c r="F28" s="104"/>
      <c r="G28" s="104"/>
      <c r="H28" s="117"/>
      <c r="I28" s="110">
        <v>5</v>
      </c>
      <c r="O28" t="s">
        <v>1937</v>
      </c>
    </row>
    <row r="29" spans="1:15" x14ac:dyDescent="0.55000000000000004">
      <c r="A29" s="104" t="s">
        <v>1938</v>
      </c>
      <c r="B29" s="104">
        <v>5</v>
      </c>
      <c r="C29" s="104"/>
      <c r="D29" s="104"/>
      <c r="E29" s="104"/>
      <c r="F29" s="104"/>
      <c r="G29" s="104"/>
      <c r="H29" s="117"/>
      <c r="I29" s="110">
        <v>6</v>
      </c>
      <c r="O29" t="s">
        <v>1939</v>
      </c>
    </row>
    <row r="30" spans="1:15" x14ac:dyDescent="0.55000000000000004">
      <c r="A30" s="104" t="s">
        <v>1940</v>
      </c>
      <c r="B30" s="118" t="s">
        <v>1902</v>
      </c>
      <c r="C30" s="104"/>
      <c r="D30" s="104"/>
      <c r="E30" s="104"/>
      <c r="F30" s="104"/>
      <c r="G30" s="104"/>
      <c r="H30" s="117"/>
      <c r="I30" s="110">
        <v>7</v>
      </c>
      <c r="O30" t="s">
        <v>1941</v>
      </c>
    </row>
    <row r="31" spans="1:15" x14ac:dyDescent="0.55000000000000004">
      <c r="A31" s="53" t="s">
        <v>1942</v>
      </c>
      <c r="B31" s="7" t="s">
        <v>1889</v>
      </c>
      <c r="C31" s="53"/>
      <c r="D31" s="53"/>
      <c r="E31" s="53"/>
      <c r="F31" s="53"/>
      <c r="G31" s="53"/>
      <c r="H31" s="107"/>
      <c r="J31" t="s">
        <v>1943</v>
      </c>
    </row>
    <row r="32" spans="1:15" x14ac:dyDescent="0.55000000000000004">
      <c r="A32" s="52" t="s">
        <v>1944</v>
      </c>
      <c r="B32" s="119" t="s">
        <v>1945</v>
      </c>
      <c r="C32" s="52"/>
      <c r="D32" s="52"/>
      <c r="E32" s="52"/>
      <c r="F32" s="52"/>
      <c r="G32" s="52"/>
      <c r="H32" s="51"/>
      <c r="I32" s="108">
        <v>1</v>
      </c>
      <c r="O32" t="s">
        <v>1946</v>
      </c>
    </row>
    <row r="33" spans="1:15" x14ac:dyDescent="0.55000000000000004">
      <c r="A33" s="52" t="s">
        <v>1947</v>
      </c>
      <c r="B33" s="119">
        <v>1.4E-3</v>
      </c>
      <c r="C33" s="52"/>
      <c r="D33" s="52"/>
      <c r="E33" s="52"/>
      <c r="F33" s="52"/>
      <c r="G33" s="52"/>
      <c r="H33" s="120"/>
      <c r="I33" s="110">
        <v>2</v>
      </c>
      <c r="O33" t="s">
        <v>1948</v>
      </c>
    </row>
    <row r="34" spans="1:15" x14ac:dyDescent="0.55000000000000004">
      <c r="A34" s="52" t="s">
        <v>1949</v>
      </c>
      <c r="B34" s="119" t="s">
        <v>1950</v>
      </c>
      <c r="C34" s="52"/>
      <c r="D34" s="52"/>
      <c r="E34" s="52"/>
      <c r="F34" s="52"/>
      <c r="G34" s="52"/>
      <c r="H34" s="120"/>
      <c r="I34" s="110">
        <v>3</v>
      </c>
      <c r="O34" t="s">
        <v>1951</v>
      </c>
    </row>
    <row r="35" spans="1:15" x14ac:dyDescent="0.55000000000000004">
      <c r="A35" s="52" t="s">
        <v>1952</v>
      </c>
      <c r="B35" s="52">
        <v>300</v>
      </c>
      <c r="C35" s="52"/>
      <c r="D35" s="52"/>
      <c r="E35" s="52"/>
      <c r="F35" s="52"/>
      <c r="G35" s="52"/>
      <c r="H35" s="51"/>
      <c r="I35" s="108">
        <v>4</v>
      </c>
      <c r="O35" t="s">
        <v>1953</v>
      </c>
    </row>
    <row r="36" spans="1:15" x14ac:dyDescent="0.55000000000000004">
      <c r="A36" s="52" t="s">
        <v>1954</v>
      </c>
      <c r="B36" s="52">
        <v>0</v>
      </c>
      <c r="C36" s="52"/>
      <c r="D36" s="52"/>
      <c r="E36" s="52"/>
      <c r="F36" s="52"/>
      <c r="G36" s="52"/>
      <c r="H36" s="51"/>
      <c r="I36" s="108">
        <v>5</v>
      </c>
      <c r="O36" t="s">
        <v>1955</v>
      </c>
    </row>
    <row r="37" spans="1:15" x14ac:dyDescent="0.55000000000000004">
      <c r="A37" s="52" t="s">
        <v>1956</v>
      </c>
      <c r="B37" s="119">
        <v>0.2</v>
      </c>
      <c r="C37" s="52"/>
      <c r="D37" s="52"/>
      <c r="E37" s="52"/>
      <c r="F37" s="52"/>
      <c r="G37" s="52"/>
      <c r="H37" s="51"/>
      <c r="I37" s="108">
        <v>6</v>
      </c>
      <c r="O37" t="s">
        <v>1957</v>
      </c>
    </row>
    <row r="38" spans="1:15" x14ac:dyDescent="0.55000000000000004">
      <c r="A38" s="52" t="s">
        <v>1958</v>
      </c>
      <c r="B38" s="119" t="s">
        <v>1959</v>
      </c>
      <c r="C38" s="52"/>
      <c r="D38" s="52"/>
      <c r="E38" s="52"/>
      <c r="F38" s="52"/>
      <c r="G38" s="52"/>
      <c r="H38" s="51"/>
      <c r="I38" s="108">
        <v>7</v>
      </c>
      <c r="O38" t="s">
        <v>1960</v>
      </c>
    </row>
    <row r="39" spans="1:15" x14ac:dyDescent="0.55000000000000004">
      <c r="A39" s="52" t="s">
        <v>1961</v>
      </c>
      <c r="B39" s="119">
        <v>80</v>
      </c>
      <c r="C39" s="52"/>
      <c r="D39" s="52"/>
      <c r="E39" s="52"/>
      <c r="F39" s="52"/>
      <c r="G39" s="52"/>
      <c r="H39" s="120"/>
      <c r="I39" s="110">
        <v>8</v>
      </c>
      <c r="O39" t="s">
        <v>1962</v>
      </c>
    </row>
    <row r="40" spans="1:15" x14ac:dyDescent="0.55000000000000004">
      <c r="A40" s="52" t="s">
        <v>1963</v>
      </c>
      <c r="B40" s="119" t="s">
        <v>1959</v>
      </c>
      <c r="C40" s="52"/>
      <c r="D40" s="52"/>
      <c r="E40" s="52"/>
      <c r="F40" s="52"/>
      <c r="G40" s="52"/>
      <c r="H40" s="120"/>
      <c r="I40" s="110">
        <v>9</v>
      </c>
      <c r="O40" t="s">
        <v>1964</v>
      </c>
    </row>
    <row r="41" spans="1:15" x14ac:dyDescent="0.55000000000000004">
      <c r="A41" s="52" t="s">
        <v>1965</v>
      </c>
      <c r="B41" s="119">
        <v>1E-3</v>
      </c>
      <c r="C41" s="52"/>
      <c r="D41" s="52"/>
      <c r="E41" s="52"/>
      <c r="F41" s="52"/>
      <c r="G41" s="52"/>
      <c r="H41" s="51"/>
      <c r="I41" s="108">
        <v>10</v>
      </c>
      <c r="O41" t="s">
        <v>1966</v>
      </c>
    </row>
    <row r="42" spans="1:15" x14ac:dyDescent="0.55000000000000004">
      <c r="A42" s="52" t="s">
        <v>1967</v>
      </c>
      <c r="B42" s="119">
        <v>0.1</v>
      </c>
      <c r="C42" s="52"/>
      <c r="D42" s="52"/>
      <c r="E42" s="52"/>
      <c r="F42" s="52"/>
      <c r="G42" s="52"/>
      <c r="H42" s="51"/>
      <c r="I42" s="108">
        <v>11</v>
      </c>
      <c r="O42" t="s">
        <v>1968</v>
      </c>
    </row>
    <row r="43" spans="1:15" x14ac:dyDescent="0.55000000000000004">
      <c r="A43" s="52" t="s">
        <v>1969</v>
      </c>
      <c r="B43" s="119">
        <v>2000</v>
      </c>
      <c r="C43" s="52"/>
      <c r="D43" s="52"/>
      <c r="E43" s="52"/>
      <c r="F43" s="52"/>
      <c r="G43" s="52"/>
      <c r="H43" s="51"/>
      <c r="I43" s="108">
        <v>12</v>
      </c>
      <c r="O43" t="s">
        <v>1970</v>
      </c>
    </row>
    <row r="44" spans="1:15" x14ac:dyDescent="0.55000000000000004">
      <c r="A44" s="52" t="s">
        <v>1971</v>
      </c>
      <c r="B44" s="119">
        <v>1E-3</v>
      </c>
      <c r="C44" s="52"/>
      <c r="D44" s="52"/>
      <c r="E44" s="52"/>
      <c r="F44" s="52"/>
      <c r="G44" s="52"/>
      <c r="H44" s="51"/>
      <c r="I44" s="108">
        <v>13</v>
      </c>
      <c r="O44" t="s">
        <v>1972</v>
      </c>
    </row>
    <row r="45" spans="1:15" x14ac:dyDescent="0.55000000000000004">
      <c r="A45" s="52" t="s">
        <v>1973</v>
      </c>
      <c r="B45" s="119" t="s">
        <v>1974</v>
      </c>
      <c r="C45" s="52"/>
      <c r="D45" s="52"/>
      <c r="E45" s="52"/>
      <c r="F45" s="52"/>
      <c r="G45" s="52"/>
      <c r="H45" s="51"/>
      <c r="I45" s="108">
        <v>14</v>
      </c>
      <c r="O45" t="s">
        <v>1975</v>
      </c>
    </row>
    <row r="46" spans="1:15" x14ac:dyDescent="0.55000000000000004">
      <c r="A46" s="52" t="s">
        <v>1976</v>
      </c>
      <c r="B46" s="119" t="s">
        <v>1902</v>
      </c>
      <c r="C46" s="52"/>
      <c r="D46" s="52"/>
      <c r="E46" s="52"/>
      <c r="F46" s="52"/>
      <c r="G46" s="52"/>
      <c r="H46" s="51"/>
      <c r="I46" s="108">
        <v>15</v>
      </c>
      <c r="O46" t="s">
        <v>1977</v>
      </c>
    </row>
    <row r="47" spans="1:15" x14ac:dyDescent="0.55000000000000004">
      <c r="A47" s="52" t="s">
        <v>1978</v>
      </c>
      <c r="B47" s="119">
        <v>1E-3</v>
      </c>
      <c r="C47" s="52"/>
      <c r="D47" s="52"/>
      <c r="E47" s="52"/>
      <c r="F47" s="52"/>
      <c r="G47" s="52"/>
      <c r="H47" s="51"/>
      <c r="I47" s="108">
        <v>16</v>
      </c>
      <c r="O47" t="s">
        <v>1979</v>
      </c>
    </row>
    <row r="48" spans="1:15" x14ac:dyDescent="0.55000000000000004">
      <c r="A48" s="53" t="s">
        <v>1980</v>
      </c>
      <c r="B48" s="7" t="s">
        <v>1889</v>
      </c>
      <c r="C48" s="53"/>
      <c r="D48" s="53"/>
      <c r="E48" s="53"/>
      <c r="F48" s="53"/>
      <c r="G48" s="53"/>
      <c r="H48" s="107"/>
      <c r="J48" t="s">
        <v>1981</v>
      </c>
    </row>
    <row r="49" spans="1:15" x14ac:dyDescent="0.55000000000000004">
      <c r="A49" s="13" t="s">
        <v>1982</v>
      </c>
      <c r="B49" s="13">
        <v>1E-3</v>
      </c>
      <c r="C49" s="53"/>
      <c r="D49" s="53"/>
      <c r="E49" s="53"/>
      <c r="F49" s="53"/>
      <c r="G49" s="53"/>
      <c r="H49" s="107"/>
      <c r="I49" s="108">
        <v>1</v>
      </c>
      <c r="O49" t="s">
        <v>1983</v>
      </c>
    </row>
    <row r="50" spans="1:15" x14ac:dyDescent="0.55000000000000004">
      <c r="A50" s="13" t="s">
        <v>1984</v>
      </c>
      <c r="B50" s="13">
        <v>10</v>
      </c>
      <c r="C50" s="53"/>
      <c r="D50" s="53"/>
      <c r="E50" s="53"/>
      <c r="F50" s="53"/>
      <c r="G50" s="53"/>
      <c r="H50" s="107"/>
      <c r="I50" s="108">
        <v>2</v>
      </c>
      <c r="O50" t="s">
        <v>1985</v>
      </c>
    </row>
    <row r="51" spans="1:15" ht="28.8" x14ac:dyDescent="0.55000000000000004">
      <c r="A51" s="121" t="s">
        <v>1986</v>
      </c>
      <c r="B51" s="111" t="s">
        <v>1902</v>
      </c>
      <c r="C51" s="53"/>
      <c r="D51" s="53"/>
      <c r="E51" s="53"/>
      <c r="F51" s="53"/>
      <c r="G51" s="53"/>
      <c r="H51" s="107"/>
      <c r="I51" s="108">
        <v>3</v>
      </c>
      <c r="O51" t="s">
        <v>1987</v>
      </c>
    </row>
    <row r="52" spans="1:15" x14ac:dyDescent="0.55000000000000004">
      <c r="A52" s="13" t="s">
        <v>1988</v>
      </c>
      <c r="B52" s="13">
        <v>1.5</v>
      </c>
      <c r="C52" s="53"/>
      <c r="D52" s="53"/>
      <c r="E52" s="53"/>
      <c r="F52" s="53"/>
      <c r="G52" s="53"/>
      <c r="H52" s="107"/>
      <c r="I52" s="108">
        <v>4</v>
      </c>
      <c r="O52" t="s">
        <v>1989</v>
      </c>
    </row>
    <row r="53" spans="1:15" x14ac:dyDescent="0.55000000000000004">
      <c r="A53" s="13" t="s">
        <v>1990</v>
      </c>
      <c r="B53" s="13">
        <v>1E-4</v>
      </c>
      <c r="C53" s="53"/>
      <c r="D53" s="53"/>
      <c r="E53" s="53"/>
      <c r="F53" s="53"/>
      <c r="G53" s="53"/>
      <c r="H53" s="107"/>
      <c r="I53" s="108">
        <v>5</v>
      </c>
      <c r="O53" t="s">
        <v>1991</v>
      </c>
    </row>
    <row r="54" spans="1:15" x14ac:dyDescent="0.55000000000000004">
      <c r="A54" s="53" t="s">
        <v>1992</v>
      </c>
      <c r="B54" s="7" t="s">
        <v>1889</v>
      </c>
      <c r="C54" s="53"/>
      <c r="D54" s="53"/>
      <c r="E54" s="53"/>
      <c r="F54" s="53"/>
      <c r="G54" s="53"/>
      <c r="H54" s="107"/>
      <c r="O54" t="s">
        <v>1993</v>
      </c>
    </row>
    <row r="55" spans="1:15" x14ac:dyDescent="0.55000000000000004">
      <c r="A55" s="53" t="s">
        <v>1994</v>
      </c>
      <c r="B55" s="7" t="s">
        <v>1889</v>
      </c>
      <c r="C55" s="53"/>
      <c r="D55" s="53"/>
      <c r="E55" s="53"/>
      <c r="F55" s="53"/>
      <c r="O55" t="s">
        <v>1995</v>
      </c>
    </row>
    <row r="56" spans="1:15" x14ac:dyDescent="0.55000000000000004">
      <c r="A56" s="53" t="s">
        <v>1996</v>
      </c>
      <c r="B56" s="7" t="s">
        <v>1889</v>
      </c>
      <c r="C56" s="53"/>
      <c r="D56" s="53"/>
      <c r="E56" s="53"/>
      <c r="F56" s="53"/>
      <c r="O56" t="s">
        <v>1997</v>
      </c>
    </row>
    <row r="57" spans="1:15" x14ac:dyDescent="0.55000000000000004">
      <c r="A57" s="71" t="s">
        <v>1998</v>
      </c>
      <c r="B57" s="7">
        <v>2</v>
      </c>
      <c r="C57" s="53"/>
      <c r="D57" s="53"/>
      <c r="E57" s="53"/>
      <c r="F57" s="53"/>
      <c r="G57" s="7"/>
      <c r="H57" s="1"/>
    </row>
    <row r="58" spans="1:15" x14ac:dyDescent="0.55000000000000004">
      <c r="A58" s="21"/>
      <c r="B58" s="21" t="s">
        <v>1999</v>
      </c>
      <c r="C58" s="21" t="s">
        <v>2000</v>
      </c>
      <c r="D58" s="21" t="s">
        <v>2001</v>
      </c>
      <c r="E58" s="21" t="s">
        <v>2002</v>
      </c>
      <c r="F58" s="21" t="s">
        <v>2003</v>
      </c>
      <c r="G58" s="21"/>
      <c r="H58" s="37"/>
      <c r="I58" s="122"/>
      <c r="J58" s="122" t="s">
        <v>2004</v>
      </c>
    </row>
    <row r="59" spans="1:15" x14ac:dyDescent="0.55000000000000004">
      <c r="A59" s="18" t="s">
        <v>2005</v>
      </c>
      <c r="B59" s="7">
        <v>2</v>
      </c>
      <c r="C59" s="7">
        <v>14</v>
      </c>
      <c r="D59" s="7"/>
      <c r="E59" s="7"/>
      <c r="F59" s="7"/>
      <c r="G59" s="7"/>
      <c r="H59" s="1"/>
      <c r="I59" s="108">
        <v>1</v>
      </c>
      <c r="O59" t="s">
        <v>2006</v>
      </c>
    </row>
    <row r="60" spans="1:15" x14ac:dyDescent="0.55000000000000004">
      <c r="A60" s="18" t="s">
        <v>2007</v>
      </c>
      <c r="B60" s="7">
        <v>13</v>
      </c>
      <c r="C60" s="7">
        <v>31</v>
      </c>
      <c r="D60" s="7"/>
      <c r="E60" s="7"/>
      <c r="F60" s="7"/>
      <c r="G60" s="7"/>
      <c r="H60" s="1"/>
      <c r="I60" s="108">
        <v>2</v>
      </c>
      <c r="O60" t="s">
        <v>2008</v>
      </c>
    </row>
    <row r="61" spans="1:15" x14ac:dyDescent="0.55000000000000004">
      <c r="A61" s="53" t="s">
        <v>2009</v>
      </c>
      <c r="B61" s="7">
        <v>10</v>
      </c>
      <c r="C61" s="7">
        <v>10</v>
      </c>
      <c r="D61" s="7"/>
      <c r="E61" s="7"/>
      <c r="F61" s="7"/>
      <c r="G61" s="7"/>
      <c r="H61" s="1"/>
      <c r="I61" s="108">
        <v>3</v>
      </c>
      <c r="O61" t="s">
        <v>2010</v>
      </c>
    </row>
    <row r="62" spans="1:15" x14ac:dyDescent="0.55000000000000004">
      <c r="A62" s="53" t="s">
        <v>2011</v>
      </c>
      <c r="B62" s="7">
        <v>7</v>
      </c>
      <c r="C62" s="7">
        <v>7</v>
      </c>
      <c r="D62" s="7"/>
      <c r="E62" s="7"/>
      <c r="F62" s="7"/>
      <c r="G62" s="7"/>
      <c r="H62" s="1"/>
      <c r="I62" s="108">
        <v>4</v>
      </c>
      <c r="O62" t="s">
        <v>2012</v>
      </c>
    </row>
    <row r="63" spans="1:15" x14ac:dyDescent="0.55000000000000004">
      <c r="A63" s="53" t="s">
        <v>2013</v>
      </c>
      <c r="B63" s="7">
        <v>2275.9459999999999</v>
      </c>
      <c r="C63" s="7">
        <v>2275.9459999999999</v>
      </c>
      <c r="D63" s="7"/>
      <c r="E63" s="7"/>
      <c r="F63" s="7"/>
      <c r="G63" s="7"/>
      <c r="H63" s="1"/>
      <c r="I63" s="108">
        <v>5</v>
      </c>
      <c r="O63" t="s">
        <v>2014</v>
      </c>
    </row>
    <row r="64" spans="1:15" x14ac:dyDescent="0.55000000000000004">
      <c r="A64" s="53" t="s">
        <v>2015</v>
      </c>
      <c r="B64" s="7">
        <v>326.00299999999999</v>
      </c>
      <c r="C64" s="7">
        <v>326.00299999999999</v>
      </c>
      <c r="D64" s="7"/>
      <c r="E64" s="7"/>
      <c r="F64" s="7"/>
      <c r="G64" s="7"/>
      <c r="H64" s="1"/>
      <c r="I64" s="108">
        <v>6</v>
      </c>
      <c r="O64" t="s">
        <v>2016</v>
      </c>
    </row>
    <row r="65" spans="1:15" x14ac:dyDescent="0.55000000000000004">
      <c r="A65" s="53" t="s">
        <v>2017</v>
      </c>
      <c r="B65" s="7">
        <v>25.265999999999998</v>
      </c>
      <c r="C65" s="7">
        <v>25.265999999999998</v>
      </c>
      <c r="D65" s="7"/>
      <c r="E65" s="7"/>
      <c r="F65" s="7"/>
      <c r="G65" s="7"/>
      <c r="H65" s="1"/>
      <c r="I65" s="108">
        <v>7</v>
      </c>
      <c r="O65" t="s">
        <v>2018</v>
      </c>
    </row>
    <row r="66" spans="1:15" x14ac:dyDescent="0.55000000000000004">
      <c r="A66" s="53" t="s">
        <v>2019</v>
      </c>
      <c r="B66" s="7">
        <v>0</v>
      </c>
      <c r="C66" s="7">
        <v>0</v>
      </c>
      <c r="D66" s="7"/>
      <c r="E66" s="7"/>
      <c r="F66" s="7"/>
      <c r="G66" s="7"/>
      <c r="H66" s="1"/>
      <c r="I66" s="108">
        <v>8</v>
      </c>
      <c r="O66" t="s">
        <v>2020</v>
      </c>
    </row>
    <row r="67" spans="1:15" x14ac:dyDescent="0.55000000000000004">
      <c r="A67" s="53" t="s">
        <v>2021</v>
      </c>
      <c r="B67" s="7">
        <v>0.05</v>
      </c>
      <c r="C67" s="7">
        <v>0.05</v>
      </c>
      <c r="D67" s="7"/>
      <c r="E67" s="7"/>
      <c r="F67" s="7"/>
      <c r="G67" s="7"/>
      <c r="H67" s="1"/>
      <c r="I67" s="108">
        <v>9</v>
      </c>
      <c r="O67" t="s">
        <v>2022</v>
      </c>
    </row>
    <row r="68" spans="1:15" x14ac:dyDescent="0.55000000000000004">
      <c r="A68" s="53" t="s">
        <v>2023</v>
      </c>
      <c r="B68" s="7">
        <v>0</v>
      </c>
      <c r="C68" s="7">
        <v>0</v>
      </c>
      <c r="D68" s="7"/>
      <c r="E68" s="7"/>
      <c r="F68" s="7"/>
      <c r="G68" s="7"/>
      <c r="H68" s="1"/>
      <c r="I68" s="108">
        <v>10</v>
      </c>
      <c r="O68" t="s">
        <v>2024</v>
      </c>
    </row>
    <row r="69" spans="1:15" x14ac:dyDescent="0.55000000000000004">
      <c r="A69" s="53" t="s">
        <v>2025</v>
      </c>
      <c r="B69" s="7">
        <v>9.5050000000000008</v>
      </c>
      <c r="C69" s="7">
        <v>9.5050000000000008</v>
      </c>
      <c r="D69" s="7"/>
      <c r="E69" s="7"/>
      <c r="F69" s="7"/>
      <c r="G69" s="7"/>
      <c r="H69" s="1"/>
      <c r="I69" s="108">
        <v>11</v>
      </c>
      <c r="O69" t="s">
        <v>2026</v>
      </c>
    </row>
    <row r="70" spans="1:15" x14ac:dyDescent="0.55000000000000004">
      <c r="A70" s="53" t="s">
        <v>2027</v>
      </c>
      <c r="B70" s="7">
        <v>0</v>
      </c>
      <c r="C70" s="7">
        <v>0</v>
      </c>
      <c r="D70" s="7"/>
      <c r="E70" s="7"/>
      <c r="F70" s="7"/>
      <c r="G70" s="7"/>
      <c r="H70" s="1"/>
      <c r="I70" s="108">
        <v>12</v>
      </c>
      <c r="O70" t="s">
        <v>2028</v>
      </c>
    </row>
    <row r="71" spans="1:15" x14ac:dyDescent="0.55000000000000004">
      <c r="A71" s="53" t="s">
        <v>2029</v>
      </c>
      <c r="B71" s="7">
        <v>9.1999999999999998E-2</v>
      </c>
      <c r="C71" s="7">
        <v>9.1999999999999998E-2</v>
      </c>
      <c r="D71" s="7"/>
      <c r="E71" s="7"/>
      <c r="F71" s="7"/>
      <c r="G71" s="7"/>
      <c r="H71" s="1"/>
      <c r="I71" s="108">
        <v>13</v>
      </c>
      <c r="O71" t="s">
        <v>2030</v>
      </c>
    </row>
    <row r="72" spans="1:15" x14ac:dyDescent="0.55000000000000004">
      <c r="A72" s="53" t="s">
        <v>2031</v>
      </c>
      <c r="B72" s="7">
        <v>4.0110000000000001</v>
      </c>
      <c r="C72" s="7">
        <v>4.0110000000000001</v>
      </c>
      <c r="D72" s="7"/>
      <c r="E72" s="7"/>
      <c r="F72" s="7"/>
      <c r="G72" s="7"/>
      <c r="H72" s="1"/>
      <c r="I72" s="108">
        <v>14</v>
      </c>
      <c r="O72" t="s">
        <v>2032</v>
      </c>
    </row>
    <row r="73" spans="1:15" x14ac:dyDescent="0.55000000000000004">
      <c r="A73" s="53" t="s">
        <v>2033</v>
      </c>
      <c r="B73" s="7">
        <v>50</v>
      </c>
      <c r="C73" s="7">
        <v>50</v>
      </c>
      <c r="D73" s="7"/>
      <c r="E73" s="7"/>
      <c r="F73" s="7"/>
      <c r="G73" s="7"/>
      <c r="H73" s="1"/>
      <c r="I73" s="108">
        <v>15</v>
      </c>
      <c r="O73" t="s">
        <v>2034</v>
      </c>
    </row>
    <row r="74" spans="1:15" x14ac:dyDescent="0.55000000000000004">
      <c r="A74" s="53" t="s">
        <v>2035</v>
      </c>
      <c r="B74" s="7"/>
      <c r="C74" s="7"/>
      <c r="D74" s="7"/>
      <c r="E74" s="7"/>
      <c r="F74" s="7"/>
      <c r="G74" s="7"/>
      <c r="H74" s="1"/>
      <c r="I74" s="108">
        <v>16</v>
      </c>
      <c r="O74" t="s">
        <v>2036</v>
      </c>
    </row>
    <row r="75" spans="1:15" x14ac:dyDescent="0.55000000000000004">
      <c r="A75" s="53" t="s">
        <v>2037</v>
      </c>
      <c r="B75" s="7"/>
      <c r="C75" s="7"/>
      <c r="D75" s="7"/>
      <c r="E75" s="7"/>
      <c r="F75" s="7"/>
      <c r="G75" s="7"/>
      <c r="H75" s="1"/>
      <c r="I75" s="108">
        <v>17</v>
      </c>
      <c r="O75" t="s">
        <v>2038</v>
      </c>
    </row>
    <row r="76" spans="1:15" x14ac:dyDescent="0.55000000000000004">
      <c r="A76" s="53" t="s">
        <v>2039</v>
      </c>
      <c r="B76" s="7"/>
      <c r="C76" s="7"/>
      <c r="D76" s="7"/>
      <c r="E76" s="7"/>
      <c r="F76" s="7"/>
      <c r="G76" s="7"/>
      <c r="H76" s="1"/>
      <c r="I76" s="108">
        <v>18</v>
      </c>
      <c r="O76" t="s">
        <v>2040</v>
      </c>
    </row>
    <row r="77" spans="1:15" x14ac:dyDescent="0.55000000000000004">
      <c r="A77" s="53" t="s">
        <v>2041</v>
      </c>
      <c r="B77" s="7"/>
      <c r="C77" s="7"/>
      <c r="D77" s="7"/>
      <c r="E77" s="7"/>
      <c r="F77" s="7"/>
      <c r="G77" s="7"/>
      <c r="H77" s="1"/>
      <c r="I77" s="108">
        <v>19</v>
      </c>
      <c r="O77" t="s">
        <v>2042</v>
      </c>
    </row>
    <row r="78" spans="1:15" x14ac:dyDescent="0.55000000000000004">
      <c r="A78" s="71" t="s">
        <v>2043</v>
      </c>
      <c r="B78" s="7">
        <v>2</v>
      </c>
      <c r="C78" s="7"/>
      <c r="D78" s="7"/>
      <c r="E78" s="7"/>
      <c r="F78" s="7"/>
      <c r="G78" s="7"/>
      <c r="H78" s="1"/>
      <c r="I78" t="s">
        <v>2044</v>
      </c>
    </row>
    <row r="79" spans="1:15" x14ac:dyDescent="0.55000000000000004">
      <c r="A79" s="21"/>
      <c r="B79" s="21" t="s">
        <v>1999</v>
      </c>
      <c r="C79" s="21" t="s">
        <v>2000</v>
      </c>
      <c r="D79" s="21" t="s">
        <v>2001</v>
      </c>
      <c r="E79" s="21" t="s">
        <v>2002</v>
      </c>
      <c r="F79" s="21" t="s">
        <v>2003</v>
      </c>
      <c r="G79" s="21"/>
      <c r="H79" s="37"/>
      <c r="I79" s="122"/>
      <c r="J79" s="122" t="s">
        <v>2045</v>
      </c>
    </row>
    <row r="80" spans="1:15" x14ac:dyDescent="0.55000000000000004">
      <c r="A80" s="18" t="s">
        <v>2005</v>
      </c>
      <c r="B80" s="7">
        <v>2</v>
      </c>
      <c r="C80" s="7">
        <v>14</v>
      </c>
      <c r="D80" s="7"/>
      <c r="E80" s="7"/>
      <c r="F80" s="7"/>
      <c r="G80" s="7"/>
      <c r="H80" s="1"/>
      <c r="I80" s="108">
        <v>1</v>
      </c>
      <c r="O80" t="s">
        <v>2046</v>
      </c>
    </row>
    <row r="81" spans="1:15" x14ac:dyDescent="0.55000000000000004">
      <c r="A81" s="18" t="s">
        <v>2007</v>
      </c>
      <c r="B81" s="7">
        <v>13</v>
      </c>
      <c r="C81" s="7">
        <v>31</v>
      </c>
      <c r="D81" s="7"/>
      <c r="E81" s="7"/>
      <c r="F81" s="7"/>
      <c r="G81" s="7"/>
      <c r="H81" s="1"/>
      <c r="I81" s="108">
        <v>2</v>
      </c>
      <c r="O81" t="s">
        <v>2047</v>
      </c>
    </row>
    <row r="82" spans="1:15" x14ac:dyDescent="0.55000000000000004">
      <c r="A82" s="53" t="s">
        <v>2048</v>
      </c>
      <c r="B82" s="7">
        <v>0.1</v>
      </c>
      <c r="C82" s="7">
        <v>0.1</v>
      </c>
      <c r="D82" s="7"/>
      <c r="E82" s="7"/>
      <c r="F82" s="7"/>
      <c r="G82" s="7"/>
      <c r="H82" s="1"/>
      <c r="I82" s="108">
        <v>3</v>
      </c>
      <c r="O82" t="s">
        <v>2049</v>
      </c>
    </row>
    <row r="83" spans="1:15" x14ac:dyDescent="0.55000000000000004">
      <c r="A83" s="53" t="s">
        <v>2050</v>
      </c>
      <c r="B83" s="7">
        <v>0.89</v>
      </c>
      <c r="C83" s="7">
        <v>0.89</v>
      </c>
      <c r="D83" s="7"/>
      <c r="E83" s="7"/>
      <c r="F83" s="7"/>
      <c r="G83" s="7"/>
      <c r="H83" s="1"/>
      <c r="I83" s="108">
        <v>4</v>
      </c>
      <c r="O83" t="s">
        <v>2051</v>
      </c>
    </row>
    <row r="84" spans="1:15" x14ac:dyDescent="0.55000000000000004">
      <c r="A84" s="53" t="s">
        <v>2052</v>
      </c>
      <c r="B84" s="7">
        <v>0.1</v>
      </c>
      <c r="C84" s="7">
        <v>0.1</v>
      </c>
      <c r="D84" s="7"/>
      <c r="E84" s="7"/>
      <c r="F84" s="7"/>
      <c r="G84" s="7"/>
      <c r="H84" s="1"/>
      <c r="I84" s="108">
        <v>5</v>
      </c>
      <c r="O84" t="s">
        <v>2053</v>
      </c>
    </row>
    <row r="85" spans="1:15" x14ac:dyDescent="0.55000000000000004">
      <c r="A85" s="53" t="s">
        <v>2054</v>
      </c>
      <c r="B85" s="7">
        <v>0.89</v>
      </c>
      <c r="C85" s="7">
        <v>0.89</v>
      </c>
      <c r="D85" s="7"/>
      <c r="E85" s="7"/>
      <c r="F85" s="7"/>
      <c r="G85" s="7"/>
      <c r="H85" s="1"/>
      <c r="I85" s="108">
        <v>6</v>
      </c>
      <c r="O85" t="s">
        <v>2055</v>
      </c>
    </row>
    <row r="86" spans="1:15" x14ac:dyDescent="0.55000000000000004">
      <c r="A86" s="53" t="s">
        <v>2056</v>
      </c>
      <c r="B86" s="7">
        <v>0.1</v>
      </c>
      <c r="C86" s="7">
        <v>0.1</v>
      </c>
      <c r="D86" s="7"/>
      <c r="E86" s="7"/>
      <c r="F86" s="7"/>
      <c r="G86" s="7"/>
      <c r="H86" s="1"/>
      <c r="I86" s="108">
        <v>7</v>
      </c>
      <c r="O86" t="s">
        <v>2057</v>
      </c>
    </row>
    <row r="87" spans="1:15" x14ac:dyDescent="0.55000000000000004">
      <c r="A87" s="53" t="s">
        <v>2058</v>
      </c>
      <c r="B87" s="7">
        <v>0.89</v>
      </c>
      <c r="C87" s="7">
        <v>0.89</v>
      </c>
      <c r="D87" s="7"/>
      <c r="E87" s="7"/>
      <c r="F87" s="7"/>
      <c r="G87" s="7"/>
      <c r="H87" s="1"/>
      <c r="I87" s="108">
        <v>8</v>
      </c>
      <c r="O87" t="s">
        <v>2059</v>
      </c>
    </row>
    <row r="88" spans="1:15" x14ac:dyDescent="0.55000000000000004">
      <c r="A88" s="53" t="s">
        <v>2060</v>
      </c>
      <c r="B88" s="7">
        <v>2.5000000000000001E-3</v>
      </c>
      <c r="C88" s="7">
        <v>2.5000000000000001E-3</v>
      </c>
      <c r="D88" s="7"/>
      <c r="E88" s="7"/>
      <c r="F88" s="7"/>
      <c r="G88" s="7"/>
      <c r="H88" s="1"/>
      <c r="I88" s="108">
        <v>9</v>
      </c>
      <c r="O88" t="s">
        <v>2061</v>
      </c>
    </row>
    <row r="89" spans="1:15" x14ac:dyDescent="0.55000000000000004">
      <c r="A89" s="53" t="s">
        <v>2062</v>
      </c>
      <c r="B89" s="7">
        <v>6.0000000000000002E-5</v>
      </c>
      <c r="C89" s="7">
        <v>6.0000000000000002E-5</v>
      </c>
      <c r="D89" s="7"/>
      <c r="E89" s="7"/>
      <c r="F89" s="7"/>
      <c r="G89" s="7"/>
      <c r="H89" s="1"/>
      <c r="I89" s="108">
        <v>10</v>
      </c>
      <c r="O89" t="s">
        <v>2063</v>
      </c>
    </row>
    <row r="90" spans="1:15" x14ac:dyDescent="0.55000000000000004">
      <c r="A90" s="53" t="s">
        <v>2064</v>
      </c>
      <c r="B90" s="7">
        <v>2.73973E-4</v>
      </c>
      <c r="C90" s="7">
        <v>2.73973E-4</v>
      </c>
      <c r="D90" s="7"/>
      <c r="E90" s="7"/>
      <c r="F90" s="7"/>
      <c r="G90" s="7"/>
      <c r="H90" s="1"/>
      <c r="I90" s="108">
        <v>11</v>
      </c>
      <c r="O90" t="s">
        <v>2065</v>
      </c>
    </row>
    <row r="91" spans="1:15" x14ac:dyDescent="0.55000000000000004">
      <c r="A91" s="53" t="s">
        <v>2066</v>
      </c>
      <c r="B91" s="7">
        <v>0.01</v>
      </c>
      <c r="C91" s="7">
        <v>0.01</v>
      </c>
      <c r="D91" s="7"/>
      <c r="E91" s="7"/>
      <c r="F91" s="7"/>
      <c r="G91" s="7"/>
      <c r="H91" s="1"/>
      <c r="I91" s="108">
        <v>12</v>
      </c>
      <c r="O91" t="s">
        <v>2067</v>
      </c>
    </row>
    <row r="92" spans="1:15" x14ac:dyDescent="0.55000000000000004">
      <c r="A92" s="53" t="s">
        <v>2068</v>
      </c>
      <c r="B92" s="7">
        <v>1</v>
      </c>
      <c r="C92" s="7">
        <v>1</v>
      </c>
      <c r="D92" s="7"/>
      <c r="E92" s="7"/>
      <c r="F92" s="7"/>
      <c r="G92" s="7"/>
      <c r="H92" s="1"/>
      <c r="I92" s="108">
        <v>13</v>
      </c>
      <c r="O92" t="s">
        <v>2069</v>
      </c>
    </row>
    <row r="93" spans="1:15" x14ac:dyDescent="0.55000000000000004">
      <c r="A93" s="53" t="s">
        <v>2070</v>
      </c>
      <c r="B93" s="7">
        <v>2</v>
      </c>
      <c r="C93" s="7">
        <v>2</v>
      </c>
      <c r="D93" s="7"/>
      <c r="E93" s="7"/>
      <c r="F93" s="7"/>
      <c r="G93" s="7"/>
      <c r="H93" s="1"/>
      <c r="I93" s="108">
        <v>14</v>
      </c>
      <c r="O93" t="s">
        <v>2071</v>
      </c>
    </row>
    <row r="94" spans="1:15" x14ac:dyDescent="0.55000000000000004">
      <c r="A94" s="53" t="s">
        <v>2072</v>
      </c>
      <c r="B94" s="7">
        <v>0.3</v>
      </c>
      <c r="C94" s="7">
        <v>0.3</v>
      </c>
      <c r="D94" s="7"/>
      <c r="E94" s="7"/>
      <c r="F94" s="7"/>
      <c r="G94" s="7"/>
      <c r="H94" s="1"/>
      <c r="I94" s="108">
        <v>15</v>
      </c>
      <c r="O94" t="s">
        <v>2073</v>
      </c>
    </row>
    <row r="95" spans="1:15" x14ac:dyDescent="0.55000000000000004">
      <c r="A95" s="53" t="s">
        <v>2074</v>
      </c>
      <c r="B95" s="7">
        <v>0.3</v>
      </c>
      <c r="C95" s="7">
        <v>0.3</v>
      </c>
      <c r="D95" s="7"/>
      <c r="E95" s="7"/>
      <c r="F95" s="7"/>
      <c r="G95" s="7"/>
      <c r="H95" s="1"/>
      <c r="I95" s="108">
        <v>16</v>
      </c>
      <c r="O95" t="s">
        <v>2075</v>
      </c>
    </row>
    <row r="96" spans="1:15" x14ac:dyDescent="0.55000000000000004">
      <c r="A96" s="53" t="s">
        <v>2076</v>
      </c>
      <c r="B96" s="7">
        <v>0.1</v>
      </c>
      <c r="C96" s="7">
        <v>0.1</v>
      </c>
      <c r="D96" s="7"/>
      <c r="E96" s="7"/>
      <c r="F96" s="7"/>
      <c r="G96" s="7"/>
      <c r="H96" s="1"/>
      <c r="I96" s="108">
        <v>17</v>
      </c>
      <c r="O96" t="s">
        <v>2077</v>
      </c>
    </row>
    <row r="97" spans="1:15" x14ac:dyDescent="0.55000000000000004">
      <c r="A97" s="53" t="s">
        <v>2078</v>
      </c>
      <c r="B97" s="7">
        <v>0.1</v>
      </c>
      <c r="C97" s="7">
        <v>0.1</v>
      </c>
      <c r="D97" s="7"/>
      <c r="E97" s="7"/>
      <c r="F97" s="7"/>
      <c r="G97" s="7"/>
      <c r="H97" s="1"/>
      <c r="I97" s="108">
        <v>18</v>
      </c>
      <c r="O97" t="s">
        <v>2079</v>
      </c>
    </row>
    <row r="98" spans="1:15" x14ac:dyDescent="0.55000000000000004">
      <c r="A98" s="53" t="s">
        <v>2080</v>
      </c>
      <c r="B98" s="7">
        <v>0.1</v>
      </c>
      <c r="C98" s="7">
        <v>0.1</v>
      </c>
      <c r="D98" s="7"/>
      <c r="E98" s="7"/>
      <c r="F98" s="7"/>
      <c r="G98" s="7"/>
      <c r="H98" s="1"/>
      <c r="I98" s="108">
        <v>19</v>
      </c>
      <c r="O98" t="s">
        <v>2081</v>
      </c>
    </row>
    <row r="99" spans="1:15" x14ac:dyDescent="0.55000000000000004">
      <c r="A99" s="53" t="s">
        <v>2082</v>
      </c>
      <c r="B99" s="7">
        <v>0.7</v>
      </c>
      <c r="C99" s="7">
        <v>0.7</v>
      </c>
      <c r="D99" s="7"/>
      <c r="E99" s="7"/>
      <c r="F99" s="7"/>
      <c r="G99" s="7"/>
      <c r="H99" s="1"/>
      <c r="I99" s="108">
        <v>20</v>
      </c>
      <c r="O99" t="s">
        <v>2083</v>
      </c>
    </row>
    <row r="100" spans="1:15" x14ac:dyDescent="0.55000000000000004">
      <c r="A100" s="53" t="s">
        <v>2084</v>
      </c>
      <c r="B100" s="7">
        <v>0</v>
      </c>
      <c r="C100" s="7">
        <v>0</v>
      </c>
      <c r="D100" s="7"/>
      <c r="E100" s="7"/>
      <c r="F100" s="7"/>
      <c r="G100" s="7"/>
      <c r="H100" s="1"/>
      <c r="I100" s="108">
        <v>21</v>
      </c>
      <c r="O100" t="s">
        <v>2085</v>
      </c>
    </row>
    <row r="101" spans="1:15" x14ac:dyDescent="0.55000000000000004">
      <c r="A101" s="53" t="s">
        <v>2086</v>
      </c>
      <c r="B101" s="7">
        <v>0.72799999999999998</v>
      </c>
      <c r="C101" s="7">
        <v>0.72799999999999998</v>
      </c>
      <c r="D101" s="7"/>
      <c r="E101" s="7"/>
      <c r="F101" s="7"/>
      <c r="G101" s="7"/>
      <c r="H101" s="1"/>
      <c r="I101" s="108">
        <v>22</v>
      </c>
      <c r="O101" t="s">
        <v>2087</v>
      </c>
    </row>
    <row r="102" spans="1:15" x14ac:dyDescent="0.55000000000000004">
      <c r="A102" s="53" t="s">
        <v>2088</v>
      </c>
      <c r="B102" s="7">
        <v>0.37</v>
      </c>
      <c r="C102" s="7">
        <v>0.37</v>
      </c>
      <c r="D102" s="7"/>
      <c r="E102" s="7"/>
      <c r="F102" s="7"/>
      <c r="G102" s="7"/>
      <c r="H102" s="1"/>
      <c r="I102" s="108">
        <v>23</v>
      </c>
      <c r="O102" t="s">
        <v>2089</v>
      </c>
    </row>
    <row r="103" spans="1:15" x14ac:dyDescent="0.55000000000000004">
      <c r="A103" s="53" t="s">
        <v>2090</v>
      </c>
      <c r="B103" s="7">
        <v>1.08</v>
      </c>
      <c r="C103" s="7">
        <v>1.08</v>
      </c>
      <c r="D103" s="7"/>
      <c r="E103" s="7"/>
      <c r="F103" s="7"/>
      <c r="G103" s="7"/>
      <c r="H103" s="1"/>
      <c r="I103" s="108">
        <v>24</v>
      </c>
      <c r="O103" t="s">
        <v>2091</v>
      </c>
    </row>
    <row r="104" spans="1:15" x14ac:dyDescent="0.55000000000000004">
      <c r="A104" s="53" t="s">
        <v>2092</v>
      </c>
      <c r="B104" s="7">
        <v>1</v>
      </c>
      <c r="C104" s="7">
        <v>1</v>
      </c>
      <c r="D104" s="7"/>
      <c r="E104" s="7"/>
      <c r="F104" s="7"/>
      <c r="G104" s="7"/>
      <c r="H104" s="1"/>
      <c r="I104" s="108">
        <v>25</v>
      </c>
      <c r="O104" t="s">
        <v>2093</v>
      </c>
    </row>
    <row r="105" spans="1:15" x14ac:dyDescent="0.55000000000000004">
      <c r="A105" s="53" t="s">
        <v>2094</v>
      </c>
      <c r="B105" s="7">
        <v>1.123</v>
      </c>
      <c r="C105" s="7">
        <v>1.123</v>
      </c>
      <c r="D105" s="7"/>
      <c r="E105" s="7"/>
      <c r="F105" s="7"/>
      <c r="G105" s="7"/>
      <c r="H105" s="1"/>
      <c r="I105" s="108">
        <v>26</v>
      </c>
      <c r="O105" t="s">
        <v>2095</v>
      </c>
    </row>
    <row r="106" spans="1:15" x14ac:dyDescent="0.55000000000000004">
      <c r="A106" s="53" t="s">
        <v>2096</v>
      </c>
      <c r="B106" s="7">
        <v>1.08</v>
      </c>
      <c r="C106" s="7">
        <v>1.08</v>
      </c>
      <c r="D106" s="7"/>
      <c r="E106" s="7"/>
      <c r="F106" s="7"/>
      <c r="G106" s="7"/>
      <c r="H106" s="1"/>
      <c r="I106" s="108">
        <v>27</v>
      </c>
      <c r="O106" t="s">
        <v>2097</v>
      </c>
    </row>
    <row r="107" spans="1:15" x14ac:dyDescent="0.55000000000000004">
      <c r="A107" s="53" t="s">
        <v>2098</v>
      </c>
      <c r="B107" s="7">
        <v>1.079</v>
      </c>
      <c r="C107" s="7">
        <v>1.079</v>
      </c>
      <c r="D107" s="7"/>
      <c r="E107" s="7"/>
      <c r="F107" s="7"/>
      <c r="G107" s="7"/>
      <c r="H107" s="1"/>
      <c r="I107" s="108">
        <v>28</v>
      </c>
      <c r="O107" t="s">
        <v>2099</v>
      </c>
    </row>
    <row r="108" spans="1:15" x14ac:dyDescent="0.55000000000000004">
      <c r="A108" s="53" t="s">
        <v>2100</v>
      </c>
      <c r="B108" s="7">
        <v>20</v>
      </c>
      <c r="C108" s="7">
        <v>20</v>
      </c>
      <c r="D108" s="7"/>
      <c r="E108" s="7"/>
      <c r="F108" s="7"/>
      <c r="G108" s="7"/>
      <c r="H108" s="1"/>
      <c r="I108" s="108">
        <v>29</v>
      </c>
      <c r="O108" t="s">
        <v>2101</v>
      </c>
    </row>
    <row r="109" spans="1:15" x14ac:dyDescent="0.55000000000000004">
      <c r="A109" s="53" t="s">
        <v>2102</v>
      </c>
      <c r="B109" s="7">
        <v>0.2</v>
      </c>
      <c r="C109" s="7">
        <v>0.2</v>
      </c>
      <c r="D109" s="7"/>
      <c r="E109" s="7"/>
      <c r="F109" s="7"/>
      <c r="G109" s="7"/>
      <c r="H109" s="1"/>
      <c r="I109" s="108">
        <v>30</v>
      </c>
      <c r="O109" t="s">
        <v>2103</v>
      </c>
    </row>
    <row r="110" spans="1:15" x14ac:dyDescent="0.55000000000000004">
      <c r="A110" s="53" t="s">
        <v>2104</v>
      </c>
      <c r="B110" s="7">
        <v>1.079</v>
      </c>
      <c r="C110" s="7">
        <v>1.079</v>
      </c>
      <c r="D110" s="7"/>
      <c r="E110" s="7"/>
      <c r="F110" s="7"/>
      <c r="G110" s="7"/>
      <c r="H110" s="1"/>
      <c r="I110" s="108">
        <v>31</v>
      </c>
      <c r="O110" t="s">
        <v>2105</v>
      </c>
    </row>
    <row r="111" spans="1:15" x14ac:dyDescent="0.55000000000000004">
      <c r="A111" s="53" t="s">
        <v>2106</v>
      </c>
      <c r="B111" s="7">
        <v>4</v>
      </c>
      <c r="C111" s="7">
        <v>4</v>
      </c>
      <c r="D111" s="7"/>
      <c r="E111" s="7"/>
      <c r="F111" s="7"/>
      <c r="G111" s="7"/>
      <c r="H111" s="1"/>
      <c r="I111" s="108">
        <v>32</v>
      </c>
      <c r="O111" t="s">
        <v>2107</v>
      </c>
    </row>
    <row r="112" spans="1:15" x14ac:dyDescent="0.55000000000000004">
      <c r="A112" s="53" t="s">
        <v>2108</v>
      </c>
      <c r="B112" s="7">
        <v>3.5000000000000003E-2</v>
      </c>
      <c r="C112" s="7">
        <v>3.5000000000000003E-2</v>
      </c>
      <c r="D112" s="7"/>
      <c r="E112" s="7"/>
      <c r="F112" s="7"/>
      <c r="G112" s="7"/>
      <c r="H112" s="1"/>
      <c r="I112" s="108">
        <v>33</v>
      </c>
      <c r="O112" t="s">
        <v>2109</v>
      </c>
    </row>
    <row r="113" spans="1:15" x14ac:dyDescent="0.55000000000000004">
      <c r="A113" s="53" t="s">
        <v>2110</v>
      </c>
      <c r="B113" s="7">
        <v>1.8E-3</v>
      </c>
      <c r="C113" s="7">
        <v>1.8E-3</v>
      </c>
      <c r="D113" s="7"/>
      <c r="E113" s="7"/>
      <c r="F113" s="7"/>
      <c r="G113" s="7"/>
      <c r="H113" s="1"/>
      <c r="I113" s="108">
        <v>34</v>
      </c>
      <c r="O113" t="s">
        <v>2111</v>
      </c>
    </row>
    <row r="114" spans="1:15" x14ac:dyDescent="0.55000000000000004">
      <c r="A114" s="53" t="s">
        <v>2112</v>
      </c>
      <c r="B114" s="7">
        <v>0</v>
      </c>
      <c r="C114" s="7">
        <v>0</v>
      </c>
      <c r="D114" s="7"/>
      <c r="E114" s="7"/>
      <c r="F114" s="7"/>
      <c r="G114" s="7"/>
      <c r="H114" s="1"/>
      <c r="I114" s="108">
        <v>35</v>
      </c>
      <c r="O114" t="s">
        <v>2113</v>
      </c>
    </row>
    <row r="115" spans="1:15" x14ac:dyDescent="0.55000000000000004">
      <c r="A115" s="53" t="s">
        <v>2114</v>
      </c>
      <c r="B115" s="7">
        <v>3.5000000000000003E-2</v>
      </c>
      <c r="C115" s="7">
        <v>3.5000000000000003E-2</v>
      </c>
      <c r="D115" s="7"/>
      <c r="E115" s="7"/>
      <c r="F115" s="7"/>
      <c r="G115" s="7"/>
      <c r="H115" s="1"/>
      <c r="I115" s="108">
        <v>36</v>
      </c>
      <c r="O115" t="s">
        <v>2115</v>
      </c>
    </row>
    <row r="116" spans="1:15" x14ac:dyDescent="0.55000000000000004">
      <c r="A116" s="53" t="s">
        <v>2116</v>
      </c>
      <c r="B116" s="7">
        <v>1.8E-3</v>
      </c>
      <c r="C116" s="7">
        <v>1.8E-3</v>
      </c>
      <c r="D116" s="7"/>
      <c r="E116" s="7"/>
      <c r="F116" s="7"/>
      <c r="G116" s="7"/>
      <c r="H116" s="1"/>
      <c r="I116" s="108">
        <v>37</v>
      </c>
      <c r="O116" t="s">
        <v>2117</v>
      </c>
    </row>
    <row r="117" spans="1:15" x14ac:dyDescent="0.55000000000000004">
      <c r="A117" s="53" t="s">
        <v>2118</v>
      </c>
      <c r="B117" s="7">
        <v>0</v>
      </c>
      <c r="C117" s="7">
        <v>0</v>
      </c>
      <c r="D117" s="7"/>
      <c r="E117" s="7"/>
      <c r="F117" s="7"/>
      <c r="G117" s="7"/>
      <c r="H117" s="1"/>
      <c r="I117" s="108">
        <v>38</v>
      </c>
      <c r="O117" t="s">
        <v>2119</v>
      </c>
    </row>
    <row r="118" spans="1:15" x14ac:dyDescent="0.55000000000000004">
      <c r="A118" s="53" t="s">
        <v>2120</v>
      </c>
      <c r="B118" s="7">
        <v>3.5000000000000003E-2</v>
      </c>
      <c r="C118" s="7">
        <v>3.5000000000000003E-2</v>
      </c>
      <c r="D118" s="7"/>
      <c r="E118" s="7"/>
      <c r="F118" s="7"/>
      <c r="G118" s="7"/>
      <c r="H118" s="1"/>
      <c r="I118" s="108">
        <v>39</v>
      </c>
      <c r="O118" t="s">
        <v>2121</v>
      </c>
    </row>
    <row r="119" spans="1:15" x14ac:dyDescent="0.55000000000000004">
      <c r="A119" s="53" t="s">
        <v>2122</v>
      </c>
      <c r="B119" s="7">
        <v>1.8E-3</v>
      </c>
      <c r="C119" s="7">
        <v>1.8E-3</v>
      </c>
      <c r="D119" s="7"/>
      <c r="E119" s="7"/>
      <c r="F119" s="7"/>
      <c r="G119" s="7"/>
      <c r="H119" s="1"/>
      <c r="I119" s="108">
        <v>40</v>
      </c>
      <c r="O119" t="s">
        <v>2123</v>
      </c>
    </row>
    <row r="120" spans="1:15" x14ac:dyDescent="0.55000000000000004">
      <c r="A120" s="53" t="s">
        <v>2124</v>
      </c>
      <c r="B120" s="7">
        <v>0</v>
      </c>
      <c r="C120" s="7">
        <v>0</v>
      </c>
      <c r="D120" s="7"/>
      <c r="E120" s="7"/>
      <c r="F120" s="7"/>
      <c r="G120" s="7"/>
      <c r="H120" s="1"/>
      <c r="I120" s="108">
        <v>41</v>
      </c>
      <c r="O120" t="s">
        <v>2125</v>
      </c>
    </row>
    <row r="121" spans="1:15" x14ac:dyDescent="0.55000000000000004">
      <c r="A121" s="53" t="s">
        <v>2126</v>
      </c>
      <c r="B121" s="7">
        <v>1.1000000000000001</v>
      </c>
      <c r="C121" s="7">
        <v>1.1000000000000001</v>
      </c>
      <c r="D121" s="7"/>
      <c r="E121" s="7"/>
      <c r="F121" s="7"/>
      <c r="G121" s="7"/>
      <c r="H121" s="1"/>
      <c r="I121" s="108">
        <v>42</v>
      </c>
      <c r="O121" t="s">
        <v>2127</v>
      </c>
    </row>
    <row r="122" spans="1:15" x14ac:dyDescent="0.55000000000000004">
      <c r="A122" s="53" t="s">
        <v>2128</v>
      </c>
      <c r="B122" s="7">
        <v>1.1499999999999999</v>
      </c>
      <c r="C122" s="7">
        <v>1.1499999999999999</v>
      </c>
      <c r="D122" s="7"/>
      <c r="E122" s="7"/>
      <c r="F122" s="7"/>
      <c r="G122" s="7"/>
      <c r="H122" s="1"/>
      <c r="I122" s="108">
        <v>43</v>
      </c>
      <c r="O122" t="s">
        <v>2129</v>
      </c>
    </row>
    <row r="123" spans="1:15" x14ac:dyDescent="0.55000000000000004">
      <c r="A123" s="53" t="s">
        <v>2130</v>
      </c>
      <c r="B123" s="7">
        <v>1</v>
      </c>
      <c r="C123" s="7">
        <v>1</v>
      </c>
      <c r="D123" s="7"/>
      <c r="E123" s="7"/>
      <c r="F123" s="7"/>
      <c r="G123" s="7"/>
      <c r="H123" s="1"/>
      <c r="I123" s="108">
        <v>44</v>
      </c>
      <c r="O123" t="s">
        <v>2131</v>
      </c>
    </row>
    <row r="124" spans="1:15" x14ac:dyDescent="0.55000000000000004">
      <c r="A124" s="53" t="s">
        <v>2132</v>
      </c>
      <c r="B124" s="7">
        <v>1.1000000000000001</v>
      </c>
      <c r="C124" s="7">
        <v>1.1000000000000001</v>
      </c>
      <c r="D124" s="7"/>
      <c r="E124" s="7"/>
      <c r="F124" s="7"/>
      <c r="G124" s="7"/>
      <c r="H124" s="1"/>
      <c r="I124" s="108">
        <v>45</v>
      </c>
      <c r="O124" t="s">
        <v>2133</v>
      </c>
    </row>
    <row r="125" spans="1:15" x14ac:dyDescent="0.55000000000000004">
      <c r="A125" s="53" t="s">
        <v>2134</v>
      </c>
      <c r="B125" s="7">
        <v>1.1499999999999999</v>
      </c>
      <c r="C125" s="7">
        <v>1.1499999999999999</v>
      </c>
      <c r="D125" s="7"/>
      <c r="E125" s="7"/>
      <c r="F125" s="7"/>
      <c r="G125" s="7"/>
      <c r="H125" s="1"/>
      <c r="I125" s="108">
        <v>46</v>
      </c>
      <c r="O125" t="s">
        <v>2135</v>
      </c>
    </row>
    <row r="126" spans="1:15" x14ac:dyDescent="0.55000000000000004">
      <c r="A126" s="53" t="s">
        <v>2136</v>
      </c>
      <c r="B126" s="7">
        <v>1</v>
      </c>
      <c r="C126" s="7">
        <v>1</v>
      </c>
      <c r="D126" s="7"/>
      <c r="E126" s="7"/>
      <c r="F126" s="7"/>
      <c r="G126" s="7"/>
      <c r="H126" s="1"/>
      <c r="I126" s="108">
        <v>47</v>
      </c>
      <c r="O126" t="s">
        <v>2137</v>
      </c>
    </row>
    <row r="127" spans="1:15" x14ac:dyDescent="0.55000000000000004">
      <c r="A127" s="53" t="s">
        <v>2138</v>
      </c>
      <c r="B127" s="7">
        <v>1.1000000000000001</v>
      </c>
      <c r="C127" s="7">
        <v>1.1000000000000001</v>
      </c>
      <c r="D127" s="7"/>
      <c r="E127" s="7"/>
      <c r="F127" s="7"/>
      <c r="G127" s="7"/>
      <c r="H127" s="1"/>
      <c r="I127" s="108">
        <v>48</v>
      </c>
      <c r="O127" t="s">
        <v>2139</v>
      </c>
    </row>
    <row r="128" spans="1:15" x14ac:dyDescent="0.55000000000000004">
      <c r="A128" s="53" t="s">
        <v>2140</v>
      </c>
      <c r="B128" s="7">
        <v>1.1499999999999999</v>
      </c>
      <c r="C128" s="7">
        <v>1.1499999999999999</v>
      </c>
      <c r="D128" s="7"/>
      <c r="E128" s="7"/>
      <c r="F128" s="7"/>
      <c r="G128" s="7"/>
      <c r="H128" s="1"/>
      <c r="I128" s="108">
        <v>49</v>
      </c>
      <c r="O128" t="s">
        <v>2141</v>
      </c>
    </row>
    <row r="129" spans="1:15" x14ac:dyDescent="0.55000000000000004">
      <c r="A129" s="53" t="s">
        <v>2142</v>
      </c>
      <c r="B129" s="7">
        <v>1</v>
      </c>
      <c r="C129" s="7">
        <v>1</v>
      </c>
      <c r="D129" s="7"/>
      <c r="E129" s="7"/>
      <c r="F129" s="7"/>
      <c r="G129" s="7"/>
      <c r="H129" s="1"/>
      <c r="I129" s="108">
        <v>50</v>
      </c>
      <c r="O129" t="s">
        <v>2143</v>
      </c>
    </row>
    <row r="130" spans="1:15" x14ac:dyDescent="0.55000000000000004">
      <c r="A130" s="53" t="s">
        <v>2144</v>
      </c>
      <c r="B130" s="7">
        <v>0.02</v>
      </c>
      <c r="C130" s="7">
        <v>0.02</v>
      </c>
      <c r="D130" s="7"/>
      <c r="E130" s="7"/>
      <c r="F130" s="7"/>
      <c r="G130" s="7"/>
      <c r="H130" s="1"/>
      <c r="I130" s="108">
        <v>51</v>
      </c>
      <c r="O130" t="s">
        <v>2145</v>
      </c>
    </row>
    <row r="131" spans="1:15" x14ac:dyDescent="0.55000000000000004">
      <c r="A131" s="53" t="s">
        <v>2146</v>
      </c>
      <c r="B131" s="7">
        <v>0</v>
      </c>
      <c r="C131" s="7">
        <v>0</v>
      </c>
      <c r="D131" s="7"/>
      <c r="E131" s="7"/>
      <c r="F131" s="7"/>
      <c r="G131" s="7"/>
      <c r="H131" s="1"/>
      <c r="I131" s="108">
        <v>52</v>
      </c>
      <c r="O131" t="s">
        <v>2147</v>
      </c>
    </row>
    <row r="132" spans="1:15" x14ac:dyDescent="0.55000000000000004">
      <c r="A132" s="53" t="s">
        <v>2148</v>
      </c>
      <c r="B132" s="7">
        <v>0.01</v>
      </c>
      <c r="C132" s="7">
        <v>0.01</v>
      </c>
      <c r="D132" s="7"/>
      <c r="E132" s="7"/>
      <c r="F132" s="7"/>
      <c r="G132" s="7"/>
      <c r="H132" s="1"/>
      <c r="I132" s="108">
        <v>53</v>
      </c>
      <c r="O132" t="s">
        <v>2149</v>
      </c>
    </row>
    <row r="133" spans="1:15" x14ac:dyDescent="0.55000000000000004">
      <c r="A133" s="53" t="s">
        <v>2150</v>
      </c>
      <c r="B133" s="7">
        <v>1E-3</v>
      </c>
      <c r="C133" s="7">
        <v>1E-3</v>
      </c>
      <c r="D133" s="7"/>
      <c r="E133" s="7"/>
      <c r="F133" s="7"/>
      <c r="G133" s="7"/>
      <c r="H133" s="1"/>
      <c r="I133" s="108">
        <v>54</v>
      </c>
      <c r="O133" t="s">
        <v>2151</v>
      </c>
    </row>
    <row r="134" spans="1:15" x14ac:dyDescent="0.55000000000000004">
      <c r="A134" s="53" t="s">
        <v>2152</v>
      </c>
      <c r="B134" s="7">
        <v>1E-3</v>
      </c>
      <c r="C134" s="7">
        <v>1E-3</v>
      </c>
      <c r="D134" s="7"/>
      <c r="E134" s="7"/>
      <c r="F134" s="7"/>
      <c r="G134" s="7"/>
      <c r="H134" s="1"/>
      <c r="I134" s="108">
        <v>55</v>
      </c>
      <c r="O134" t="s">
        <v>2153</v>
      </c>
    </row>
    <row r="135" spans="1:15" x14ac:dyDescent="0.55000000000000004">
      <c r="A135" s="53" t="s">
        <v>2154</v>
      </c>
      <c r="B135" s="7">
        <v>0.1</v>
      </c>
      <c r="C135" s="7">
        <v>0.1</v>
      </c>
      <c r="D135" s="7"/>
      <c r="E135" s="7"/>
      <c r="F135" s="7"/>
      <c r="G135" s="7"/>
      <c r="H135" s="1"/>
      <c r="I135" s="108">
        <v>56</v>
      </c>
      <c r="O135" t="s">
        <v>2155</v>
      </c>
    </row>
    <row r="136" spans="1:15" x14ac:dyDescent="0.55000000000000004">
      <c r="A136" s="53" t="s">
        <v>2156</v>
      </c>
      <c r="B136" s="7">
        <v>0.1</v>
      </c>
      <c r="C136" s="7">
        <v>0.1</v>
      </c>
      <c r="D136" s="7"/>
      <c r="E136" s="7"/>
      <c r="F136" s="7"/>
      <c r="G136" s="7"/>
      <c r="H136" s="1"/>
      <c r="I136" s="108">
        <v>57</v>
      </c>
      <c r="O136" t="s">
        <v>2157</v>
      </c>
    </row>
    <row r="137" spans="1:15" ht="28.8" x14ac:dyDescent="0.55000000000000004">
      <c r="A137" s="121" t="s">
        <v>2158</v>
      </c>
      <c r="B137" s="7">
        <v>1</v>
      </c>
      <c r="C137" s="7">
        <v>0</v>
      </c>
      <c r="D137" s="7"/>
      <c r="E137" s="7"/>
      <c r="F137" s="7"/>
      <c r="G137" s="7"/>
      <c r="H137" s="1"/>
      <c r="I137" s="108">
        <v>58</v>
      </c>
      <c r="O137" t="s">
        <v>2159</v>
      </c>
    </row>
    <row r="138" spans="1:15" x14ac:dyDescent="0.55000000000000004">
      <c r="A138" s="13" t="s">
        <v>2160</v>
      </c>
      <c r="B138" s="7">
        <v>5.0000000000000002E-5</v>
      </c>
      <c r="C138" s="7">
        <v>5.0000000000000002E-5</v>
      </c>
      <c r="D138" s="7"/>
      <c r="E138" s="7"/>
      <c r="F138" s="7"/>
      <c r="G138" s="7"/>
      <c r="H138" s="1"/>
      <c r="I138" s="108">
        <v>59</v>
      </c>
      <c r="O138" t="s">
        <v>2161</v>
      </c>
    </row>
    <row r="139" spans="1:15" x14ac:dyDescent="0.55000000000000004">
      <c r="A139" s="13" t="s">
        <v>2162</v>
      </c>
      <c r="B139" s="7">
        <v>0.01</v>
      </c>
      <c r="C139" s="7">
        <v>0.01</v>
      </c>
      <c r="D139" s="7"/>
      <c r="E139" s="7"/>
      <c r="F139" s="7"/>
      <c r="G139" s="7"/>
      <c r="H139" s="1"/>
      <c r="I139" s="108">
        <v>60</v>
      </c>
      <c r="O139" t="s">
        <v>2163</v>
      </c>
    </row>
    <row r="140" spans="1:15" x14ac:dyDescent="0.55000000000000004">
      <c r="A140" s="13" t="s">
        <v>2164</v>
      </c>
      <c r="B140" s="7">
        <v>5.0000000000000002E-5</v>
      </c>
      <c r="C140" s="7">
        <v>5.0000000000000002E-5</v>
      </c>
      <c r="D140" s="7"/>
      <c r="E140" s="7"/>
      <c r="F140" s="7"/>
      <c r="G140" s="7"/>
      <c r="H140" s="1"/>
      <c r="I140" s="108">
        <v>61</v>
      </c>
      <c r="O140" t="s">
        <v>2165</v>
      </c>
    </row>
    <row r="141" spans="1:15" x14ac:dyDescent="0.55000000000000004">
      <c r="A141" s="13" t="s">
        <v>2166</v>
      </c>
      <c r="B141" s="7">
        <v>0.01</v>
      </c>
      <c r="C141" s="7">
        <v>0.01</v>
      </c>
      <c r="D141" s="7"/>
      <c r="E141" s="7"/>
      <c r="F141" s="7"/>
      <c r="G141" s="7"/>
      <c r="H141" s="1"/>
      <c r="I141" s="108">
        <v>62</v>
      </c>
      <c r="O141" t="s">
        <v>2167</v>
      </c>
    </row>
    <row r="142" spans="1:15" x14ac:dyDescent="0.55000000000000004">
      <c r="A142" s="53" t="s">
        <v>2168</v>
      </c>
      <c r="B142" s="7" t="s">
        <v>1887</v>
      </c>
      <c r="C142" s="53"/>
      <c r="D142" s="53"/>
      <c r="E142" s="53"/>
      <c r="F142" s="53"/>
      <c r="O142" t="s">
        <v>2169</v>
      </c>
    </row>
    <row r="143" spans="1:15" x14ac:dyDescent="0.55000000000000004">
      <c r="A143" s="53" t="s">
        <v>2170</v>
      </c>
      <c r="B143" s="7">
        <v>1</v>
      </c>
      <c r="C143" s="53"/>
      <c r="D143" s="53"/>
      <c r="E143" s="53"/>
      <c r="F143" s="53"/>
      <c r="O143" t="s">
        <v>2171</v>
      </c>
    </row>
  </sheetData>
  <hyperlinks>
    <hyperlink ref="M3" location="'Index of Sheets'!A1" display="'Index of Sheets'!A1" xr:uid="{2B147A66-7FB0-4BA0-A380-DB866652047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1]!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3984375" customWidth="1"/>
    <col min="2" max="2" width="21.734375" customWidth="1"/>
    <col min="3" max="3" width="38.578125" customWidth="1"/>
  </cols>
  <sheetData>
    <row r="1" spans="1:11" x14ac:dyDescent="0.55000000000000004">
      <c r="A1" s="58" t="s">
        <v>1394</v>
      </c>
      <c r="B1" s="58"/>
      <c r="C1" s="58"/>
      <c r="D1" s="58"/>
      <c r="E1" s="2"/>
      <c r="F1" s="2"/>
      <c r="G1" s="2"/>
      <c r="H1" s="2"/>
      <c r="I1" s="2"/>
      <c r="J1" s="2"/>
      <c r="K1" s="2"/>
    </row>
    <row r="2" spans="1:11" x14ac:dyDescent="0.55000000000000004">
      <c r="A2" s="59" t="s">
        <v>17</v>
      </c>
      <c r="B2" s="58"/>
      <c r="C2" s="58"/>
      <c r="D2" s="58"/>
      <c r="E2" s="2"/>
      <c r="F2" s="2"/>
      <c r="G2" s="2"/>
      <c r="H2" s="2"/>
      <c r="I2" t="s">
        <v>1613</v>
      </c>
      <c r="J2" s="2"/>
      <c r="K2" s="2"/>
    </row>
    <row r="3" spans="1:11" x14ac:dyDescent="0.55000000000000004">
      <c r="A3" s="58" t="s">
        <v>1395</v>
      </c>
      <c r="B3" s="58"/>
      <c r="C3" s="58"/>
      <c r="D3" s="58"/>
      <c r="E3" s="2"/>
      <c r="F3" s="2"/>
      <c r="G3" s="2"/>
      <c r="H3" s="2"/>
      <c r="I3" s="78" t="s">
        <v>1612</v>
      </c>
      <c r="J3" s="2"/>
      <c r="K3" s="2"/>
    </row>
    <row r="4" spans="1:11" x14ac:dyDescent="0.55000000000000004">
      <c r="A4" s="59">
        <v>1</v>
      </c>
      <c r="B4" s="58"/>
      <c r="C4" s="58"/>
      <c r="D4" s="58"/>
      <c r="E4" s="2"/>
      <c r="F4" s="2"/>
      <c r="G4" s="2"/>
      <c r="H4" s="2"/>
      <c r="I4" s="2"/>
      <c r="J4" s="2"/>
      <c r="K4" s="2"/>
    </row>
    <row r="5" spans="1:11" x14ac:dyDescent="0.55000000000000004">
      <c r="A5" s="58" t="s">
        <v>1398</v>
      </c>
      <c r="B5" s="58" t="s">
        <v>1399</v>
      </c>
      <c r="C5" s="58" t="s">
        <v>1402</v>
      </c>
      <c r="D5" s="58"/>
      <c r="E5" s="2"/>
      <c r="F5" s="2"/>
      <c r="G5" s="2"/>
      <c r="H5" s="2"/>
      <c r="I5" s="2"/>
      <c r="J5" s="2"/>
      <c r="K5" s="2"/>
    </row>
    <row r="6" spans="1:11" x14ac:dyDescent="0.55000000000000004">
      <c r="A6" s="59" t="s">
        <v>1397</v>
      </c>
      <c r="B6" s="59">
        <v>1</v>
      </c>
      <c r="C6" s="59" t="s">
        <v>1401</v>
      </c>
      <c r="D6" s="58"/>
      <c r="E6" s="2"/>
      <c r="F6" s="2"/>
      <c r="G6" s="2"/>
      <c r="H6" s="2"/>
      <c r="I6" s="2"/>
      <c r="J6" s="2"/>
      <c r="K6" s="2"/>
    </row>
    <row r="7" spans="1:11" x14ac:dyDescent="0.55000000000000004">
      <c r="A7" s="58" t="s">
        <v>1400</v>
      </c>
      <c r="B7" s="58"/>
      <c r="C7" s="58"/>
      <c r="D7" s="58"/>
      <c r="E7" s="2"/>
      <c r="F7" s="2"/>
      <c r="G7" s="2"/>
      <c r="H7" s="2"/>
      <c r="I7" s="2"/>
      <c r="J7" s="2"/>
      <c r="K7" s="2"/>
    </row>
    <row r="8" spans="1:11" x14ac:dyDescent="0.55000000000000004">
      <c r="A8" s="59">
        <v>2</v>
      </c>
      <c r="B8" s="58"/>
      <c r="C8" s="58"/>
      <c r="D8" s="58"/>
      <c r="E8" s="2"/>
      <c r="F8" s="2"/>
      <c r="G8" s="2"/>
      <c r="H8" s="2"/>
      <c r="I8" s="2"/>
      <c r="J8" s="2"/>
      <c r="K8" s="2"/>
    </row>
    <row r="9" spans="1:11" x14ac:dyDescent="0.55000000000000004">
      <c r="A9" s="58" t="s">
        <v>1396</v>
      </c>
      <c r="B9" s="58"/>
      <c r="C9" s="58"/>
      <c r="D9" s="58"/>
      <c r="E9" s="2"/>
      <c r="F9" s="2"/>
      <c r="G9" s="2"/>
      <c r="H9" s="2"/>
      <c r="I9" s="2"/>
      <c r="J9" s="2"/>
      <c r="K9" s="2"/>
    </row>
    <row r="10" spans="1:11" x14ac:dyDescent="0.55000000000000004">
      <c r="A10" s="59">
        <v>20</v>
      </c>
      <c r="B10" s="58"/>
      <c r="C10" s="58"/>
      <c r="D10" s="58"/>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L13" sqref="L13"/>
    </sheetView>
  </sheetViews>
  <sheetFormatPr defaultRowHeight="14.4" x14ac:dyDescent="0.55000000000000004"/>
  <cols>
    <col min="1" max="1" width="18" customWidth="1"/>
    <col min="2" max="2" width="15.578125" customWidth="1"/>
  </cols>
  <sheetData>
    <row r="1" spans="1:11" x14ac:dyDescent="0.55000000000000004">
      <c r="A1" s="48" t="s">
        <v>1446</v>
      </c>
      <c r="B1" s="48" t="s">
        <v>1447</v>
      </c>
      <c r="C1" s="48"/>
      <c r="D1" s="48"/>
      <c r="E1" s="48"/>
      <c r="F1" s="48"/>
      <c r="G1" s="48"/>
      <c r="K1" t="s">
        <v>1613</v>
      </c>
    </row>
    <row r="2" spans="1:11" x14ac:dyDescent="0.55000000000000004">
      <c r="A2" s="48">
        <v>1</v>
      </c>
      <c r="B2" s="48"/>
      <c r="C2" s="48"/>
      <c r="D2" s="48"/>
      <c r="E2" s="48"/>
      <c r="F2" s="48"/>
      <c r="G2" s="48"/>
      <c r="K2" s="78" t="s">
        <v>1612</v>
      </c>
    </row>
    <row r="3" spans="1:11" x14ac:dyDescent="0.55000000000000004">
      <c r="A3" s="48" t="s">
        <v>1448</v>
      </c>
      <c r="B3" s="48"/>
      <c r="C3" s="48"/>
      <c r="D3" s="48"/>
      <c r="E3" s="48"/>
      <c r="F3" s="48"/>
      <c r="G3" s="48"/>
    </row>
    <row r="4" spans="1:11" x14ac:dyDescent="0.55000000000000004">
      <c r="A4" s="48">
        <v>1</v>
      </c>
      <c r="B4" s="48"/>
      <c r="C4" s="48"/>
      <c r="D4" s="48"/>
      <c r="E4" s="48"/>
      <c r="F4" s="48"/>
      <c r="G4" s="48"/>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544830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51"/>
  <sheetViews>
    <sheetView zoomScale="80" zoomScaleNormal="80" workbookViewId="0"/>
  </sheetViews>
  <sheetFormatPr defaultRowHeight="14.4" x14ac:dyDescent="0.55000000000000004"/>
  <cols>
    <col min="2" max="2" width="61.578125" customWidth="1"/>
    <col min="3" max="3" width="7.734375" customWidth="1"/>
    <col min="4" max="4" width="7" customWidth="1"/>
    <col min="5" max="5" width="5.734375" customWidth="1"/>
    <col min="6" max="6" width="7.1015625" customWidth="1"/>
    <col min="7" max="7" width="6.41796875" customWidth="1"/>
    <col min="8" max="8" width="5.83984375" customWidth="1"/>
    <col min="10" max="10" width="4.734375" customWidth="1"/>
    <col min="12" max="12" width="8.83984375" customWidth="1"/>
  </cols>
  <sheetData>
    <row r="1" spans="1:19" x14ac:dyDescent="0.55000000000000004">
      <c r="A1" s="61" t="s">
        <v>1821</v>
      </c>
      <c r="B1" s="61"/>
      <c r="C1" s="61"/>
      <c r="D1" s="61"/>
      <c r="E1" s="61"/>
      <c r="F1" s="61"/>
      <c r="G1" s="61"/>
      <c r="H1" s="61"/>
      <c r="I1" s="61"/>
      <c r="J1" s="61"/>
      <c r="K1" t="s">
        <v>1435</v>
      </c>
    </row>
    <row r="2" spans="1:19" x14ac:dyDescent="0.55000000000000004">
      <c r="A2" s="61"/>
      <c r="B2" s="61"/>
      <c r="C2" s="61"/>
      <c r="D2" s="61"/>
      <c r="E2" s="61"/>
      <c r="F2" s="61"/>
      <c r="G2" s="61"/>
      <c r="H2" s="61"/>
      <c r="I2" s="61"/>
      <c r="J2" s="61"/>
    </row>
    <row r="3" spans="1:19" x14ac:dyDescent="0.55000000000000004">
      <c r="A3" s="61" t="s">
        <v>0</v>
      </c>
      <c r="B3" s="61" t="s">
        <v>1858</v>
      </c>
      <c r="C3" s="61"/>
      <c r="D3" s="61"/>
      <c r="E3" s="61"/>
      <c r="F3" s="61"/>
      <c r="G3" s="61"/>
      <c r="H3" s="61"/>
      <c r="I3" s="61"/>
      <c r="J3" s="61"/>
    </row>
    <row r="4" spans="1:19" x14ac:dyDescent="0.55000000000000004">
      <c r="A4" s="61">
        <v>1</v>
      </c>
      <c r="B4" s="7" t="s">
        <v>1851</v>
      </c>
      <c r="C4" s="61"/>
      <c r="D4" s="61"/>
      <c r="E4" s="61"/>
      <c r="F4" s="61"/>
      <c r="G4" s="61"/>
      <c r="H4" s="61"/>
      <c r="I4" s="61"/>
      <c r="J4" s="61"/>
    </row>
    <row r="5" spans="1:19" x14ac:dyDescent="0.55000000000000004">
      <c r="A5" s="61">
        <v>2</v>
      </c>
      <c r="B5" s="7" t="s">
        <v>1852</v>
      </c>
      <c r="C5" s="61"/>
      <c r="D5" s="61"/>
      <c r="E5" s="61"/>
      <c r="F5" s="61"/>
      <c r="G5" s="61"/>
      <c r="H5" s="61"/>
      <c r="I5" s="61"/>
      <c r="J5" s="61"/>
    </row>
    <row r="6" spans="1:19" x14ac:dyDescent="0.55000000000000004">
      <c r="A6" s="61">
        <v>3</v>
      </c>
      <c r="B6" s="7" t="s">
        <v>1853</v>
      </c>
      <c r="C6" s="61"/>
      <c r="D6" s="61"/>
      <c r="E6" s="61"/>
      <c r="F6" s="61"/>
      <c r="G6" s="61"/>
      <c r="H6" s="61"/>
      <c r="I6" s="61"/>
      <c r="J6" s="61"/>
    </row>
    <row r="7" spans="1:19" x14ac:dyDescent="0.55000000000000004">
      <c r="A7" s="61">
        <v>4</v>
      </c>
      <c r="B7" s="7" t="s">
        <v>1854</v>
      </c>
      <c r="C7" s="61"/>
      <c r="D7" s="61"/>
      <c r="E7" s="61"/>
      <c r="F7" s="61"/>
      <c r="G7" s="61"/>
      <c r="H7" s="61"/>
      <c r="I7" s="61"/>
      <c r="J7" s="61"/>
    </row>
    <row r="8" spans="1:19" x14ac:dyDescent="0.55000000000000004">
      <c r="A8" s="61">
        <v>5</v>
      </c>
      <c r="B8" s="7" t="s">
        <v>1857</v>
      </c>
      <c r="C8" s="61"/>
      <c r="D8" s="61"/>
      <c r="E8" s="61"/>
      <c r="F8" s="61"/>
      <c r="G8" s="61"/>
      <c r="H8" s="61"/>
      <c r="I8" s="61"/>
      <c r="J8" s="61"/>
      <c r="S8" s="60"/>
    </row>
    <row r="9" spans="1:19" x14ac:dyDescent="0.55000000000000004">
      <c r="A9" s="61">
        <v>6</v>
      </c>
      <c r="B9" s="7" t="s">
        <v>1855</v>
      </c>
      <c r="C9" s="61"/>
      <c r="D9" s="61"/>
      <c r="E9" s="61"/>
      <c r="F9" s="61"/>
      <c r="G9" s="61"/>
      <c r="H9" s="61"/>
      <c r="I9" s="61"/>
      <c r="J9" s="61"/>
      <c r="K9" t="s">
        <v>1432</v>
      </c>
    </row>
    <row r="10" spans="1:19" x14ac:dyDescent="0.55000000000000004">
      <c r="A10" s="61">
        <v>7</v>
      </c>
      <c r="B10" s="7" t="s">
        <v>1856</v>
      </c>
      <c r="C10" s="61"/>
      <c r="D10" s="61"/>
      <c r="E10" s="61"/>
      <c r="F10" s="61"/>
      <c r="G10" s="61"/>
      <c r="H10" s="61"/>
      <c r="I10" s="61"/>
      <c r="J10" s="61"/>
      <c r="K10" t="s">
        <v>1433</v>
      </c>
    </row>
    <row r="11" spans="1:19" x14ac:dyDescent="0.55000000000000004">
      <c r="A11" s="61">
        <v>8</v>
      </c>
      <c r="B11" s="7" t="s">
        <v>1860</v>
      </c>
      <c r="C11" s="61"/>
      <c r="D11" s="61"/>
      <c r="E11" s="61"/>
      <c r="F11" s="61"/>
      <c r="G11" s="61"/>
      <c r="H11" s="61"/>
      <c r="I11" s="61"/>
      <c r="J11" s="61"/>
    </row>
    <row r="12" spans="1:19" x14ac:dyDescent="0.55000000000000004">
      <c r="A12" s="61">
        <v>9</v>
      </c>
      <c r="B12" s="7" t="s">
        <v>1787</v>
      </c>
      <c r="C12" s="61"/>
      <c r="D12" s="61"/>
      <c r="E12" s="61"/>
      <c r="F12" s="61"/>
      <c r="G12" s="61"/>
      <c r="H12" s="61"/>
      <c r="I12" s="61"/>
      <c r="J12" s="61"/>
    </row>
    <row r="13" spans="1:19" x14ac:dyDescent="0.55000000000000004">
      <c r="A13" s="61">
        <v>10</v>
      </c>
      <c r="B13" s="7" t="s">
        <v>1850</v>
      </c>
      <c r="C13" s="61"/>
      <c r="D13" s="61"/>
      <c r="E13" s="61"/>
      <c r="F13" s="61"/>
      <c r="G13" s="61"/>
      <c r="H13" s="61"/>
      <c r="I13" s="61"/>
      <c r="J13" s="61"/>
      <c r="L13" t="s">
        <v>1613</v>
      </c>
    </row>
    <row r="14" spans="1:19" x14ac:dyDescent="0.55000000000000004">
      <c r="A14" s="61"/>
      <c r="B14" s="61"/>
      <c r="C14" s="61"/>
      <c r="D14" s="61"/>
      <c r="E14" s="61"/>
      <c r="F14" s="61"/>
      <c r="G14" s="61"/>
      <c r="H14" s="61"/>
      <c r="I14" s="61"/>
      <c r="J14" s="61"/>
      <c r="L14" s="78" t="s">
        <v>1612</v>
      </c>
    </row>
    <row r="15" spans="1:19" x14ac:dyDescent="0.55000000000000004">
      <c r="A15" s="61" t="s">
        <v>1404</v>
      </c>
      <c r="B15" s="61" t="s">
        <v>1405</v>
      </c>
      <c r="C15" s="61" t="s">
        <v>1406</v>
      </c>
      <c r="D15" s="61" t="s">
        <v>1407</v>
      </c>
      <c r="E15" s="61" t="s">
        <v>1849</v>
      </c>
      <c r="F15" s="61" t="s">
        <v>1408</v>
      </c>
      <c r="G15" s="61"/>
      <c r="H15" s="61"/>
      <c r="I15" s="61"/>
      <c r="J15" s="61"/>
    </row>
    <row r="16" spans="1:19" x14ac:dyDescent="0.55000000000000004">
      <c r="A16" s="61"/>
      <c r="B16" s="7" t="s">
        <v>17</v>
      </c>
      <c r="C16" s="7" t="s">
        <v>17</v>
      </c>
      <c r="D16" s="7" t="s">
        <v>17</v>
      </c>
      <c r="E16" s="7" t="s">
        <v>17</v>
      </c>
      <c r="F16" s="7" t="s">
        <v>17</v>
      </c>
      <c r="G16" s="61"/>
      <c r="H16" s="61"/>
      <c r="I16" s="61"/>
      <c r="J16" s="61"/>
    </row>
    <row r="17" spans="1:10" x14ac:dyDescent="0.55000000000000004">
      <c r="A17" s="61"/>
      <c r="B17" s="61"/>
      <c r="C17" s="61"/>
      <c r="D17" s="61"/>
      <c r="E17" s="61"/>
      <c r="F17" s="61"/>
      <c r="G17" s="61"/>
      <c r="H17" s="61"/>
      <c r="I17" s="61"/>
      <c r="J17" s="61"/>
    </row>
    <row r="18" spans="1:10" x14ac:dyDescent="0.55000000000000004">
      <c r="A18" s="61" t="s">
        <v>1434</v>
      </c>
      <c r="B18" s="61" t="s">
        <v>1410</v>
      </c>
      <c r="C18" s="61" t="s">
        <v>1411</v>
      </c>
      <c r="D18" s="62"/>
      <c r="E18" s="61"/>
      <c r="F18" s="61"/>
      <c r="G18" s="61"/>
      <c r="H18" s="61"/>
      <c r="I18" s="61"/>
      <c r="J18" s="61"/>
    </row>
    <row r="19" spans="1:10" x14ac:dyDescent="0.55000000000000004">
      <c r="A19" s="61" t="s">
        <v>1842</v>
      </c>
      <c r="B19" s="7" t="s">
        <v>1822</v>
      </c>
      <c r="C19" s="7">
        <v>1</v>
      </c>
      <c r="D19" s="61"/>
      <c r="E19" s="61"/>
      <c r="F19" s="61"/>
      <c r="G19" s="61"/>
      <c r="H19" s="61"/>
      <c r="I19" s="61"/>
      <c r="J19" s="61"/>
    </row>
    <row r="20" spans="1:10" x14ac:dyDescent="0.55000000000000004">
      <c r="A20" s="61" t="s">
        <v>1823</v>
      </c>
      <c r="B20" s="7" t="s">
        <v>1412</v>
      </c>
      <c r="C20" s="7">
        <v>2.0299999999999998</v>
      </c>
      <c r="D20" s="61"/>
      <c r="E20" s="61"/>
      <c r="F20" s="61"/>
      <c r="G20" s="61"/>
      <c r="H20" s="61"/>
      <c r="I20" s="61"/>
      <c r="J20" s="61"/>
    </row>
    <row r="21" spans="1:10" x14ac:dyDescent="0.55000000000000004">
      <c r="A21" s="61" t="s">
        <v>1824</v>
      </c>
      <c r="B21" s="7" t="s">
        <v>1412</v>
      </c>
      <c r="C21" s="7">
        <v>2.0299999999999998</v>
      </c>
      <c r="D21" s="61"/>
      <c r="E21" s="61"/>
      <c r="F21" s="61"/>
      <c r="G21" s="61"/>
      <c r="H21" s="61"/>
      <c r="I21" s="61"/>
      <c r="J21" s="61"/>
    </row>
    <row r="22" spans="1:10" x14ac:dyDescent="0.55000000000000004">
      <c r="A22" s="61" t="s">
        <v>1825</v>
      </c>
      <c r="B22" s="7" t="s">
        <v>1412</v>
      </c>
      <c r="C22" s="7">
        <v>2.0299999999999998</v>
      </c>
      <c r="D22" s="61"/>
      <c r="E22" s="61"/>
      <c r="F22" s="61"/>
      <c r="G22" s="61"/>
      <c r="H22" s="61"/>
      <c r="I22" s="61"/>
      <c r="J22" s="61"/>
    </row>
    <row r="23" spans="1:10" x14ac:dyDescent="0.55000000000000004">
      <c r="A23" s="61" t="s">
        <v>1826</v>
      </c>
      <c r="B23" s="7" t="s">
        <v>1412</v>
      </c>
      <c r="C23" s="7">
        <v>2.0299999999999998</v>
      </c>
      <c r="D23" s="61"/>
      <c r="E23" s="61"/>
      <c r="F23" s="61"/>
      <c r="G23" s="61"/>
      <c r="H23" s="61"/>
      <c r="I23" s="61"/>
      <c r="J23" s="61"/>
    </row>
    <row r="24" spans="1:10" x14ac:dyDescent="0.55000000000000004">
      <c r="A24" s="61" t="s">
        <v>1827</v>
      </c>
      <c r="B24" s="7" t="s">
        <v>1412</v>
      </c>
      <c r="C24" s="7">
        <v>2.0299999999999998</v>
      </c>
      <c r="D24" s="61"/>
      <c r="E24" s="61"/>
      <c r="F24" s="61"/>
      <c r="G24" s="61"/>
      <c r="H24" s="61"/>
      <c r="I24" s="61"/>
      <c r="J24" s="61"/>
    </row>
    <row r="25" spans="1:10" x14ac:dyDescent="0.55000000000000004">
      <c r="A25" s="61" t="s">
        <v>1828</v>
      </c>
      <c r="B25" s="7" t="s">
        <v>1412</v>
      </c>
      <c r="C25" s="7">
        <v>2.0299999999999998</v>
      </c>
      <c r="D25" s="61"/>
      <c r="E25" s="61"/>
      <c r="F25" s="61"/>
      <c r="G25" s="61"/>
      <c r="H25" s="61"/>
      <c r="I25" s="61"/>
      <c r="J25" s="61"/>
    </row>
    <row r="26" spans="1:10" x14ac:dyDescent="0.55000000000000004">
      <c r="A26" s="61" t="s">
        <v>1829</v>
      </c>
      <c r="B26" s="7" t="s">
        <v>1412</v>
      </c>
      <c r="C26" s="7">
        <v>2.0299999999999998</v>
      </c>
      <c r="D26" s="61"/>
      <c r="E26" s="61"/>
      <c r="F26" s="61"/>
      <c r="G26" s="61"/>
      <c r="H26" s="61"/>
      <c r="I26" s="61"/>
      <c r="J26" s="61"/>
    </row>
    <row r="27" spans="1:10" x14ac:dyDescent="0.55000000000000004">
      <c r="A27" s="61" t="s">
        <v>1830</v>
      </c>
      <c r="B27" s="7" t="s">
        <v>1412</v>
      </c>
      <c r="C27" s="7">
        <v>2.0299999999999998</v>
      </c>
      <c r="D27" s="61"/>
      <c r="E27" s="61"/>
      <c r="F27" s="61"/>
      <c r="G27" s="61"/>
      <c r="H27" s="61"/>
      <c r="I27" s="61"/>
      <c r="J27" s="61"/>
    </row>
    <row r="28" spans="1:10" x14ac:dyDescent="0.55000000000000004">
      <c r="A28" s="61" t="s">
        <v>1831</v>
      </c>
      <c r="B28" s="7" t="s">
        <v>1412</v>
      </c>
      <c r="C28" s="7">
        <v>2.0299999999999998</v>
      </c>
      <c r="D28" s="61"/>
      <c r="E28" s="61"/>
      <c r="F28" s="61"/>
      <c r="G28" s="61"/>
      <c r="H28" s="61"/>
      <c r="I28" s="61"/>
      <c r="J28" s="61"/>
    </row>
    <row r="29" spans="1:10" x14ac:dyDescent="0.55000000000000004">
      <c r="A29" s="61" t="s">
        <v>1832</v>
      </c>
      <c r="B29" s="7" t="s">
        <v>1412</v>
      </c>
      <c r="C29" s="7">
        <v>2.0299999999999998</v>
      </c>
      <c r="D29" s="61"/>
      <c r="E29" s="61"/>
      <c r="F29" s="61"/>
      <c r="G29" s="61"/>
      <c r="H29" s="61"/>
      <c r="I29" s="61"/>
      <c r="J29" s="61"/>
    </row>
    <row r="30" spans="1:10" x14ac:dyDescent="0.55000000000000004">
      <c r="A30" s="61" t="s">
        <v>1833</v>
      </c>
      <c r="B30" s="7" t="s">
        <v>1412</v>
      </c>
      <c r="C30" s="7">
        <v>2.0299999999999998</v>
      </c>
      <c r="D30" s="61"/>
      <c r="E30" s="61"/>
      <c r="F30" s="61"/>
      <c r="G30" s="61"/>
      <c r="H30" s="61"/>
      <c r="I30" s="61"/>
      <c r="J30" s="61"/>
    </row>
    <row r="31" spans="1:10" x14ac:dyDescent="0.55000000000000004">
      <c r="A31" s="61" t="s">
        <v>1834</v>
      </c>
      <c r="B31" s="7" t="s">
        <v>1412</v>
      </c>
      <c r="C31" s="7">
        <v>2.0299999999999998</v>
      </c>
      <c r="D31" s="61"/>
      <c r="E31" s="61"/>
      <c r="F31" s="61"/>
      <c r="G31" s="61"/>
      <c r="H31" s="61"/>
      <c r="I31" s="61"/>
      <c r="J31" s="61"/>
    </row>
    <row r="32" spans="1:10" x14ac:dyDescent="0.55000000000000004">
      <c r="A32" s="61" t="s">
        <v>1835</v>
      </c>
      <c r="B32" s="7" t="s">
        <v>1412</v>
      </c>
      <c r="C32" s="7">
        <v>2.0299999999999998</v>
      </c>
      <c r="D32" s="61"/>
      <c r="E32" s="61"/>
      <c r="F32" s="61"/>
      <c r="G32" s="61"/>
      <c r="H32" s="61"/>
      <c r="I32" s="61"/>
      <c r="J32" s="61"/>
    </row>
    <row r="33" spans="1:11" x14ac:dyDescent="0.55000000000000004">
      <c r="A33" s="61" t="s">
        <v>1836</v>
      </c>
      <c r="B33" s="7" t="s">
        <v>1412</v>
      </c>
      <c r="C33" s="7">
        <v>2.0299999999999998</v>
      </c>
      <c r="D33" s="61"/>
      <c r="E33" s="61"/>
      <c r="F33" s="61"/>
      <c r="G33" s="61"/>
      <c r="H33" s="61"/>
      <c r="I33" s="61"/>
      <c r="J33" s="61"/>
    </row>
    <row r="34" spans="1:11" x14ac:dyDescent="0.55000000000000004">
      <c r="A34" s="61" t="s">
        <v>1837</v>
      </c>
      <c r="B34" s="7" t="s">
        <v>1412</v>
      </c>
      <c r="C34" s="7">
        <v>2.0299999999999998</v>
      </c>
      <c r="D34" s="61"/>
      <c r="E34" s="61"/>
      <c r="F34" s="61"/>
      <c r="G34" s="61"/>
      <c r="H34" s="61"/>
      <c r="I34" s="61"/>
      <c r="J34" s="61"/>
    </row>
    <row r="35" spans="1:11" x14ac:dyDescent="0.55000000000000004">
      <c r="A35" s="61" t="s">
        <v>1838</v>
      </c>
      <c r="B35" s="7" t="s">
        <v>1412</v>
      </c>
      <c r="C35" s="7">
        <v>2.0299999999999998</v>
      </c>
      <c r="D35" s="61"/>
      <c r="E35" s="61"/>
      <c r="F35" s="61"/>
      <c r="G35" s="61"/>
      <c r="H35" s="61"/>
      <c r="I35" s="61"/>
      <c r="J35" s="61"/>
    </row>
    <row r="36" spans="1:11" x14ac:dyDescent="0.55000000000000004">
      <c r="A36" s="61" t="s">
        <v>1839</v>
      </c>
      <c r="B36" s="7" t="s">
        <v>1412</v>
      </c>
      <c r="C36" s="7">
        <v>2.0299999999999998</v>
      </c>
      <c r="D36" s="61"/>
      <c r="E36" s="61"/>
      <c r="F36" s="61"/>
      <c r="G36" s="61"/>
      <c r="H36" s="61"/>
      <c r="I36" s="61"/>
      <c r="J36" s="61"/>
    </row>
    <row r="37" spans="1:11" x14ac:dyDescent="0.55000000000000004">
      <c r="A37" s="61" t="s">
        <v>1840</v>
      </c>
      <c r="B37" s="7" t="s">
        <v>1412</v>
      </c>
      <c r="C37" s="7">
        <v>2.0299999999999998</v>
      </c>
      <c r="D37" s="61"/>
      <c r="E37" s="61"/>
      <c r="F37" s="61"/>
      <c r="G37" s="61"/>
      <c r="H37" s="61"/>
      <c r="I37" s="61"/>
      <c r="J37" s="61"/>
    </row>
    <row r="38" spans="1:11" x14ac:dyDescent="0.55000000000000004">
      <c r="A38" s="61" t="s">
        <v>1841</v>
      </c>
      <c r="B38" s="7" t="s">
        <v>1843</v>
      </c>
      <c r="C38" s="7">
        <v>1</v>
      </c>
      <c r="D38" s="61"/>
      <c r="E38" s="61"/>
      <c r="F38" s="61"/>
      <c r="G38" s="61"/>
      <c r="H38" s="61"/>
      <c r="I38" s="61"/>
      <c r="J38" s="61"/>
    </row>
    <row r="39" spans="1:11" x14ac:dyDescent="0.55000000000000004">
      <c r="A39" s="61"/>
      <c r="B39" s="61"/>
      <c r="C39" s="61"/>
      <c r="D39" s="61"/>
      <c r="E39" s="61"/>
      <c r="F39" s="61"/>
      <c r="G39" s="61"/>
      <c r="H39" s="61"/>
      <c r="I39" s="61"/>
      <c r="J39" s="61"/>
    </row>
    <row r="40" spans="1:11" x14ac:dyDescent="0.55000000000000004">
      <c r="A40" s="61" t="s">
        <v>1409</v>
      </c>
      <c r="B40" s="61" t="s">
        <v>1413</v>
      </c>
      <c r="C40" s="61" t="s">
        <v>1414</v>
      </c>
      <c r="D40" s="61" t="s">
        <v>1415</v>
      </c>
      <c r="E40" s="61" t="s">
        <v>1416</v>
      </c>
      <c r="F40" s="61" t="s">
        <v>1417</v>
      </c>
      <c r="G40" s="61" t="s">
        <v>1418</v>
      </c>
      <c r="H40" s="61" t="s">
        <v>1419</v>
      </c>
      <c r="I40" s="61" t="s">
        <v>1420</v>
      </c>
      <c r="J40" s="61"/>
    </row>
    <row r="41" spans="1:11" x14ac:dyDescent="0.55000000000000004">
      <c r="A41" s="61" t="s">
        <v>1421</v>
      </c>
      <c r="B41" s="7">
        <v>-1</v>
      </c>
      <c r="C41" s="7">
        <v>0</v>
      </c>
      <c r="D41" s="7">
        <v>0</v>
      </c>
      <c r="E41" s="7">
        <v>18.920000000000002</v>
      </c>
      <c r="F41" s="7" t="s">
        <v>2</v>
      </c>
      <c r="G41" s="7" t="s">
        <v>1412</v>
      </c>
      <c r="H41" s="7">
        <v>0</v>
      </c>
      <c r="I41" s="7">
        <v>110</v>
      </c>
      <c r="J41" s="61"/>
      <c r="K41" t="s">
        <v>1403</v>
      </c>
    </row>
    <row r="42" spans="1:11" x14ac:dyDescent="0.55000000000000004">
      <c r="A42" s="61"/>
      <c r="B42" s="61"/>
      <c r="C42" s="61"/>
      <c r="D42" s="61"/>
      <c r="E42" s="61"/>
      <c r="F42" s="61"/>
      <c r="G42" s="61"/>
      <c r="H42" s="61"/>
      <c r="I42" s="61"/>
      <c r="J42" s="61"/>
    </row>
    <row r="43" spans="1:11" x14ac:dyDescent="0.55000000000000004">
      <c r="A43" s="61" t="s">
        <v>1431</v>
      </c>
      <c r="B43" s="61" t="s">
        <v>1422</v>
      </c>
      <c r="C43" s="61" t="s">
        <v>1423</v>
      </c>
      <c r="D43" s="61" t="s">
        <v>1424</v>
      </c>
      <c r="E43" s="61" t="s">
        <v>1425</v>
      </c>
      <c r="F43" s="61" t="s">
        <v>1426</v>
      </c>
      <c r="G43" s="61" t="s">
        <v>1423</v>
      </c>
      <c r="H43" s="61" t="s">
        <v>1424</v>
      </c>
      <c r="I43" s="61" t="s">
        <v>1425</v>
      </c>
      <c r="J43" s="61" t="s">
        <v>1426</v>
      </c>
    </row>
    <row r="44" spans="1:11" x14ac:dyDescent="0.55000000000000004">
      <c r="A44" s="63" t="s">
        <v>1421</v>
      </c>
      <c r="B44" s="7">
        <v>4</v>
      </c>
      <c r="C44" s="7">
        <v>1.84</v>
      </c>
      <c r="D44" s="7">
        <v>18.64</v>
      </c>
      <c r="E44" s="7">
        <v>0.73</v>
      </c>
      <c r="F44" s="7">
        <v>29.47</v>
      </c>
      <c r="G44" s="7"/>
      <c r="H44" s="7"/>
      <c r="I44" s="7"/>
      <c r="J44" s="7"/>
    </row>
    <row r="45" spans="1:11" x14ac:dyDescent="0.55000000000000004">
      <c r="A45" s="61"/>
      <c r="B45" s="61"/>
      <c r="C45" s="61"/>
      <c r="D45" s="61"/>
      <c r="E45" s="61"/>
      <c r="F45" s="61"/>
      <c r="G45" s="61"/>
      <c r="H45" s="61"/>
      <c r="I45" s="61"/>
      <c r="J45" s="61"/>
    </row>
    <row r="46" spans="1:11" x14ac:dyDescent="0.55000000000000004">
      <c r="A46" s="61" t="s">
        <v>1430</v>
      </c>
      <c r="B46" s="61" t="s">
        <v>1427</v>
      </c>
      <c r="C46" s="61" t="s">
        <v>1428</v>
      </c>
      <c r="D46" s="61" t="s">
        <v>1429</v>
      </c>
      <c r="E46" s="61" t="s">
        <v>1428</v>
      </c>
      <c r="F46" s="61" t="s">
        <v>1429</v>
      </c>
      <c r="G46" s="61"/>
      <c r="H46" s="61"/>
      <c r="I46" s="61"/>
      <c r="J46" s="61"/>
    </row>
    <row r="47" spans="1:11" x14ac:dyDescent="0.55000000000000004">
      <c r="A47" s="61" t="s">
        <v>1421</v>
      </c>
      <c r="B47" s="7">
        <v>1</v>
      </c>
      <c r="C47" s="7">
        <v>0</v>
      </c>
      <c r="D47" s="7">
        <v>0</v>
      </c>
      <c r="E47" s="7">
        <v>0</v>
      </c>
      <c r="F47" s="7">
        <v>0</v>
      </c>
      <c r="G47" s="61"/>
      <c r="H47" s="61"/>
      <c r="I47" s="61"/>
      <c r="J47" s="61"/>
    </row>
    <row r="48" spans="1:11" x14ac:dyDescent="0.55000000000000004">
      <c r="A48" s="61"/>
      <c r="B48" s="61"/>
      <c r="C48" s="61"/>
      <c r="D48" s="61"/>
      <c r="E48" s="61"/>
      <c r="F48" s="61"/>
      <c r="G48" s="61"/>
      <c r="H48" s="61"/>
      <c r="I48" s="61"/>
      <c r="J48" s="61"/>
    </row>
    <row r="49" spans="1:10" x14ac:dyDescent="0.55000000000000004">
      <c r="A49" s="61" t="s">
        <v>1859</v>
      </c>
      <c r="B49" s="61"/>
      <c r="C49" s="61"/>
      <c r="D49" s="61"/>
      <c r="E49" s="61"/>
      <c r="F49" s="61"/>
      <c r="G49" s="61"/>
      <c r="H49" s="61"/>
      <c r="I49" s="61"/>
      <c r="J49" s="61"/>
    </row>
    <row r="50" spans="1:10" x14ac:dyDescent="0.55000000000000004">
      <c r="A50" s="61" t="s">
        <v>1421</v>
      </c>
      <c r="B50" s="7" t="s">
        <v>1844</v>
      </c>
      <c r="C50" s="61"/>
      <c r="D50" s="61"/>
      <c r="E50" s="61"/>
      <c r="F50" s="61"/>
      <c r="G50" s="61"/>
      <c r="H50" s="61"/>
      <c r="I50" s="61"/>
      <c r="J50" s="61"/>
    </row>
    <row r="51" spans="1:10" x14ac:dyDescent="0.55000000000000004">
      <c r="A51" s="61"/>
      <c r="B51" s="61"/>
      <c r="C51" s="61"/>
      <c r="D51" s="61"/>
      <c r="E51" s="61"/>
      <c r="F51" s="61"/>
      <c r="G51" s="61"/>
      <c r="H51" s="61"/>
      <c r="I51" s="61"/>
      <c r="J51" s="61"/>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87630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864E-6078-46A5-A52F-4EA1D498C55B}">
  <sheetPr codeName="Sheet17"/>
  <dimension ref="A1:T37"/>
  <sheetViews>
    <sheetView workbookViewId="0">
      <selection activeCell="F54" sqref="F54"/>
    </sheetView>
  </sheetViews>
  <sheetFormatPr defaultRowHeight="14.4" x14ac:dyDescent="0.55000000000000004"/>
  <cols>
    <col min="2" max="2" width="15.41796875" customWidth="1"/>
  </cols>
  <sheetData>
    <row r="1" spans="1:20" x14ac:dyDescent="0.55000000000000004">
      <c r="A1" s="107" t="s">
        <v>2175</v>
      </c>
      <c r="B1" s="107"/>
      <c r="C1" s="107"/>
      <c r="D1" s="107"/>
      <c r="E1" s="107"/>
      <c r="F1" s="107"/>
      <c r="G1" s="107"/>
      <c r="H1" s="107"/>
      <c r="I1" s="107"/>
      <c r="J1" s="107"/>
      <c r="K1" s="107"/>
      <c r="L1" s="107"/>
      <c r="M1" s="107"/>
      <c r="N1" s="107"/>
      <c r="O1" s="107"/>
      <c r="P1" s="107"/>
      <c r="Q1" s="107"/>
      <c r="R1" s="107"/>
      <c r="S1" s="107"/>
      <c r="T1" s="107"/>
    </row>
    <row r="2" spans="1:20" x14ac:dyDescent="0.55000000000000004">
      <c r="A2" s="107" t="s">
        <v>2176</v>
      </c>
      <c r="B2" s="107"/>
      <c r="C2" s="107"/>
      <c r="D2" s="107"/>
      <c r="E2" s="107"/>
      <c r="F2" s="107"/>
      <c r="G2" s="107"/>
      <c r="H2" s="107"/>
      <c r="I2" s="107"/>
      <c r="J2" s="107"/>
      <c r="K2" s="107"/>
      <c r="L2" s="107"/>
      <c r="M2" s="107"/>
      <c r="N2" s="107"/>
      <c r="O2" s="107"/>
      <c r="P2" s="107"/>
      <c r="Q2" s="107"/>
      <c r="R2" s="107"/>
      <c r="S2" s="107"/>
      <c r="T2" s="107"/>
    </row>
    <row r="3" spans="1:20" x14ac:dyDescent="0.55000000000000004">
      <c r="A3" s="107" t="s">
        <v>0</v>
      </c>
      <c r="B3" s="107" t="s">
        <v>2177</v>
      </c>
      <c r="C3" s="107"/>
      <c r="D3" s="107"/>
      <c r="E3" s="107"/>
      <c r="F3" s="107"/>
      <c r="G3" s="107"/>
      <c r="H3" s="107"/>
      <c r="I3" s="107"/>
      <c r="J3" s="107"/>
      <c r="K3" s="107"/>
      <c r="L3" s="107"/>
      <c r="M3" s="107"/>
      <c r="N3" s="107"/>
      <c r="O3" s="107"/>
      <c r="P3" s="107"/>
      <c r="Q3" s="107"/>
      <c r="R3" s="107"/>
      <c r="S3" s="107"/>
      <c r="T3" s="107"/>
    </row>
    <row r="4" spans="1:20" x14ac:dyDescent="0.55000000000000004">
      <c r="A4" s="107">
        <v>1</v>
      </c>
      <c r="B4" s="7" t="s">
        <v>2178</v>
      </c>
      <c r="C4" s="107"/>
      <c r="D4" s="107"/>
      <c r="E4" s="107"/>
      <c r="F4" s="107"/>
      <c r="G4" s="107"/>
      <c r="H4" s="107"/>
      <c r="I4" s="107"/>
      <c r="J4" s="107"/>
      <c r="K4" s="107"/>
      <c r="L4" s="107"/>
      <c r="M4" s="107"/>
      <c r="N4" s="107"/>
      <c r="O4" s="107"/>
      <c r="P4" s="107"/>
      <c r="Q4" s="107"/>
      <c r="R4" s="107"/>
      <c r="S4" s="107"/>
      <c r="T4" s="107"/>
    </row>
    <row r="5" spans="1:20" x14ac:dyDescent="0.55000000000000004">
      <c r="A5" s="107">
        <v>2</v>
      </c>
      <c r="B5" s="7" t="s">
        <v>2179</v>
      </c>
      <c r="C5" s="107"/>
      <c r="D5" s="107"/>
      <c r="E5" s="107"/>
      <c r="F5" s="107"/>
      <c r="G5" s="107"/>
      <c r="H5" s="107"/>
      <c r="I5" s="107"/>
      <c r="J5" s="107"/>
      <c r="K5" s="107"/>
      <c r="L5" s="107"/>
      <c r="M5" s="107"/>
      <c r="N5" s="107"/>
      <c r="O5" s="107"/>
      <c r="P5" s="107"/>
      <c r="Q5" s="107"/>
      <c r="R5" s="107"/>
      <c r="S5" s="107"/>
      <c r="T5" s="107"/>
    </row>
    <row r="6" spans="1:20" x14ac:dyDescent="0.55000000000000004">
      <c r="A6" s="107">
        <v>3</v>
      </c>
      <c r="B6" s="7" t="s">
        <v>2180</v>
      </c>
      <c r="C6" s="107"/>
      <c r="D6" s="107"/>
      <c r="E6" s="107"/>
      <c r="F6" s="107"/>
      <c r="G6" s="107"/>
      <c r="H6" s="107"/>
      <c r="I6" s="107"/>
      <c r="J6" s="107"/>
      <c r="K6" s="107"/>
      <c r="L6" s="107"/>
      <c r="M6" s="107"/>
      <c r="N6" s="107"/>
      <c r="O6" s="107"/>
      <c r="P6" s="107"/>
      <c r="Q6" s="107"/>
      <c r="R6" s="107"/>
      <c r="S6" s="107"/>
      <c r="T6" s="107"/>
    </row>
    <row r="7" spans="1:20" x14ac:dyDescent="0.55000000000000004">
      <c r="A7" s="107">
        <v>4</v>
      </c>
      <c r="B7" s="7" t="s">
        <v>2181</v>
      </c>
      <c r="C7" s="107"/>
      <c r="D7" s="107"/>
      <c r="E7" s="107"/>
      <c r="F7" s="107"/>
      <c r="G7" s="107"/>
      <c r="H7" s="107"/>
      <c r="I7" s="107"/>
      <c r="J7" s="107"/>
      <c r="K7" s="107"/>
      <c r="L7" s="107"/>
      <c r="M7" s="107"/>
      <c r="N7" s="107"/>
      <c r="O7" s="107"/>
      <c r="P7" s="107"/>
      <c r="Q7" s="107"/>
      <c r="R7" s="107"/>
      <c r="S7" s="107"/>
      <c r="T7" s="107"/>
    </row>
    <row r="8" spans="1:20" x14ac:dyDescent="0.55000000000000004">
      <c r="A8" s="107">
        <v>5</v>
      </c>
      <c r="B8" s="7" t="s">
        <v>2182</v>
      </c>
      <c r="C8" s="107"/>
      <c r="D8" s="107"/>
      <c r="E8" s="107"/>
      <c r="F8" s="107"/>
      <c r="G8" s="107"/>
      <c r="H8" s="107"/>
      <c r="I8" s="107"/>
      <c r="J8" s="107"/>
      <c r="K8" s="107"/>
      <c r="L8" s="107"/>
      <c r="M8" s="107"/>
      <c r="N8" s="107"/>
      <c r="O8" s="107"/>
      <c r="P8" s="107"/>
      <c r="Q8" s="107"/>
      <c r="R8" s="107"/>
      <c r="S8" s="107"/>
      <c r="T8" s="107"/>
    </row>
    <row r="9" spans="1:20" x14ac:dyDescent="0.55000000000000004">
      <c r="A9" s="107">
        <v>6</v>
      </c>
      <c r="B9" s="7" t="s">
        <v>2183</v>
      </c>
      <c r="C9" s="107"/>
      <c r="D9" s="107"/>
      <c r="E9" s="107"/>
      <c r="F9" s="107"/>
      <c r="G9" s="107"/>
      <c r="H9" s="107"/>
      <c r="I9" s="107"/>
      <c r="J9" s="107"/>
      <c r="K9" s="107"/>
      <c r="L9" s="107"/>
      <c r="M9" s="107"/>
      <c r="N9" s="107"/>
      <c r="O9" s="107"/>
      <c r="P9" s="107"/>
      <c r="Q9" s="107"/>
      <c r="R9" s="107"/>
      <c r="S9" s="107"/>
      <c r="T9" s="107"/>
    </row>
    <row r="10" spans="1:20" x14ac:dyDescent="0.55000000000000004">
      <c r="A10" s="107">
        <v>7</v>
      </c>
      <c r="B10" s="7" t="s">
        <v>2184</v>
      </c>
      <c r="C10" s="107"/>
      <c r="D10" s="107"/>
      <c r="E10" s="107"/>
      <c r="F10" s="107"/>
      <c r="G10" s="107"/>
      <c r="H10" s="107"/>
      <c r="I10" s="107"/>
      <c r="J10" s="107"/>
      <c r="K10" s="107"/>
      <c r="L10" s="107"/>
      <c r="M10" s="107"/>
      <c r="N10" s="107"/>
      <c r="O10" s="107"/>
      <c r="P10" s="107"/>
      <c r="Q10" s="107"/>
      <c r="R10" s="107"/>
      <c r="S10" s="107"/>
      <c r="T10" s="107"/>
    </row>
    <row r="11" spans="1:20" x14ac:dyDescent="0.55000000000000004">
      <c r="A11" s="107">
        <v>8</v>
      </c>
      <c r="B11" s="7" t="s">
        <v>2185</v>
      </c>
      <c r="C11" s="107"/>
      <c r="D11" s="107"/>
      <c r="E11" s="107"/>
      <c r="F11" s="107"/>
      <c r="G11" s="107"/>
      <c r="H11" s="107"/>
      <c r="I11" s="107"/>
      <c r="J11" s="107"/>
      <c r="K11" s="107"/>
      <c r="L11" s="107"/>
      <c r="M11" s="107"/>
      <c r="N11" s="107"/>
      <c r="O11" s="107"/>
      <c r="P11" s="107"/>
      <c r="Q11" s="107"/>
      <c r="R11" s="107"/>
      <c r="S11" s="107"/>
      <c r="T11" s="107"/>
    </row>
    <row r="12" spans="1:20" x14ac:dyDescent="0.55000000000000004">
      <c r="A12" s="107">
        <v>9</v>
      </c>
      <c r="B12" s="7" t="s">
        <v>2186</v>
      </c>
      <c r="C12" s="107"/>
      <c r="D12" s="107"/>
      <c r="E12" s="107"/>
      <c r="F12" s="107"/>
      <c r="G12" s="107"/>
      <c r="H12" s="107"/>
      <c r="I12" s="107"/>
      <c r="J12" s="107"/>
      <c r="K12" s="107"/>
      <c r="L12" s="107"/>
      <c r="M12" s="107"/>
      <c r="N12" s="107"/>
      <c r="O12" s="107"/>
      <c r="P12" s="107"/>
      <c r="Q12" s="107"/>
      <c r="R12" s="107"/>
      <c r="S12" s="107"/>
      <c r="T12" s="107"/>
    </row>
    <row r="13" spans="1:20" x14ac:dyDescent="0.55000000000000004">
      <c r="A13" s="107">
        <v>10</v>
      </c>
      <c r="B13" s="124">
        <v>44388</v>
      </c>
      <c r="C13" s="107"/>
      <c r="D13" s="107"/>
      <c r="E13" s="107"/>
      <c r="F13" s="107"/>
      <c r="G13" s="107"/>
      <c r="H13" s="107"/>
      <c r="I13" s="107"/>
      <c r="J13" s="107"/>
      <c r="K13" s="107"/>
      <c r="L13" s="107"/>
      <c r="M13" s="107"/>
      <c r="N13" s="107"/>
      <c r="O13" s="107"/>
      <c r="P13" s="107"/>
      <c r="Q13" s="107"/>
      <c r="R13" s="107"/>
      <c r="S13" s="107"/>
      <c r="T13" s="107"/>
    </row>
    <row r="14" spans="1:20" x14ac:dyDescent="0.55000000000000004">
      <c r="A14" s="107"/>
      <c r="B14" s="107"/>
      <c r="C14" s="107"/>
      <c r="D14" s="107"/>
      <c r="E14" s="107"/>
      <c r="F14" s="107"/>
      <c r="G14" s="107"/>
      <c r="H14" s="107"/>
      <c r="I14" s="107"/>
      <c r="J14" s="107"/>
      <c r="K14" s="107"/>
      <c r="L14" s="107"/>
      <c r="M14" s="107"/>
      <c r="N14" s="107"/>
      <c r="O14" s="107"/>
      <c r="P14" s="107"/>
      <c r="Q14" s="107"/>
      <c r="R14" s="107"/>
      <c r="S14" s="107"/>
      <c r="T14" s="107"/>
    </row>
    <row r="15" spans="1:20" x14ac:dyDescent="0.55000000000000004">
      <c r="A15" s="107" t="s">
        <v>2187</v>
      </c>
      <c r="B15" s="107" t="s">
        <v>2188</v>
      </c>
      <c r="C15" s="107" t="s">
        <v>2189</v>
      </c>
      <c r="D15" s="107"/>
      <c r="E15" s="107"/>
      <c r="F15" s="107"/>
      <c r="G15" s="107"/>
      <c r="H15" s="107"/>
      <c r="I15" s="107"/>
      <c r="J15" s="107"/>
      <c r="K15" s="107"/>
      <c r="L15" s="107"/>
      <c r="M15" s="107"/>
      <c r="N15" s="107"/>
      <c r="O15" s="107"/>
      <c r="P15" s="107"/>
      <c r="Q15" s="107"/>
      <c r="R15" s="107"/>
      <c r="S15" s="107"/>
      <c r="T15" s="107"/>
    </row>
    <row r="16" spans="1:20" x14ac:dyDescent="0.55000000000000004">
      <c r="A16" s="53">
        <v>1</v>
      </c>
      <c r="B16" s="7">
        <v>1</v>
      </c>
      <c r="C16" s="7">
        <v>0.1</v>
      </c>
      <c r="D16" s="107"/>
      <c r="E16" s="107"/>
      <c r="F16" s="107"/>
      <c r="G16" s="107"/>
      <c r="H16" s="107"/>
      <c r="I16" s="107"/>
      <c r="J16" s="107"/>
      <c r="K16" s="107"/>
      <c r="L16" s="107"/>
      <c r="M16" s="107"/>
      <c r="N16" s="107"/>
      <c r="O16" s="107"/>
      <c r="P16" s="107"/>
      <c r="Q16" s="107"/>
      <c r="R16" s="107"/>
      <c r="S16" s="107"/>
      <c r="T16" s="107"/>
    </row>
    <row r="17" spans="1:20" x14ac:dyDescent="0.55000000000000004">
      <c r="A17" s="107"/>
      <c r="B17" s="107"/>
      <c r="C17" s="107"/>
      <c r="D17" s="107"/>
      <c r="E17" s="107"/>
      <c r="F17" s="107"/>
      <c r="G17" s="107"/>
      <c r="H17" s="107"/>
      <c r="I17" s="107"/>
      <c r="J17" s="107"/>
      <c r="K17" s="107"/>
      <c r="L17" s="107"/>
      <c r="M17" s="107"/>
      <c r="N17" s="107"/>
      <c r="O17" s="107"/>
      <c r="P17" s="107"/>
      <c r="Q17" s="107"/>
      <c r="R17" s="107"/>
      <c r="S17" s="107"/>
      <c r="T17" s="107"/>
    </row>
    <row r="18" spans="1:20" x14ac:dyDescent="0.55000000000000004">
      <c r="A18" s="107" t="s">
        <v>2187</v>
      </c>
      <c r="B18" s="107" t="s">
        <v>1323</v>
      </c>
      <c r="C18" s="107" t="s">
        <v>1324</v>
      </c>
      <c r="D18" s="107" t="s">
        <v>1325</v>
      </c>
      <c r="E18" s="107" t="s">
        <v>1345</v>
      </c>
      <c r="F18" s="107" t="s">
        <v>2190</v>
      </c>
      <c r="G18" s="107" t="s">
        <v>2191</v>
      </c>
      <c r="H18" s="107" t="s">
        <v>2192</v>
      </c>
      <c r="I18" s="107" t="s">
        <v>2193</v>
      </c>
      <c r="J18" s="107"/>
      <c r="K18" s="107"/>
      <c r="L18" s="107"/>
      <c r="M18" s="107"/>
      <c r="N18" s="107"/>
      <c r="O18" s="107"/>
      <c r="P18" s="107"/>
      <c r="Q18" s="107"/>
      <c r="R18" s="107"/>
      <c r="S18" s="107"/>
      <c r="T18" s="107"/>
    </row>
    <row r="19" spans="1:20" x14ac:dyDescent="0.55000000000000004">
      <c r="A19" s="53">
        <v>1</v>
      </c>
      <c r="B19" s="7" t="s">
        <v>17</v>
      </c>
      <c r="C19" s="7">
        <v>40544</v>
      </c>
      <c r="D19" s="7">
        <v>42369</v>
      </c>
      <c r="E19" s="7">
        <v>115</v>
      </c>
      <c r="F19" s="7" t="s">
        <v>2</v>
      </c>
      <c r="G19" s="7">
        <v>15</v>
      </c>
      <c r="H19" s="7" t="s">
        <v>2</v>
      </c>
      <c r="I19" s="7">
        <v>1</v>
      </c>
      <c r="J19" s="107"/>
      <c r="K19" s="107"/>
      <c r="L19" s="107"/>
      <c r="M19" s="107"/>
      <c r="N19" s="107"/>
      <c r="O19" s="107"/>
      <c r="P19" s="107"/>
      <c r="Q19" s="107"/>
      <c r="R19" s="107"/>
      <c r="S19" s="107"/>
      <c r="T19" s="107"/>
    </row>
    <row r="20" spans="1:20" x14ac:dyDescent="0.55000000000000004">
      <c r="A20" s="107"/>
      <c r="B20" s="107"/>
      <c r="C20" s="107"/>
      <c r="D20" s="107"/>
      <c r="E20" s="107"/>
      <c r="F20" s="107"/>
      <c r="G20" s="107"/>
      <c r="H20" s="107"/>
      <c r="I20" s="107"/>
      <c r="J20" s="107"/>
      <c r="K20" s="107"/>
      <c r="L20" s="107"/>
      <c r="M20" s="107"/>
      <c r="N20" s="107"/>
      <c r="O20" s="107"/>
      <c r="P20" s="107"/>
      <c r="Q20" s="107"/>
      <c r="R20" s="107"/>
      <c r="S20" s="107"/>
      <c r="T20" s="107"/>
    </row>
    <row r="21" spans="1:20" x14ac:dyDescent="0.55000000000000004">
      <c r="A21" s="107" t="s">
        <v>2194</v>
      </c>
      <c r="B21" s="107" t="s">
        <v>2195</v>
      </c>
      <c r="C21" s="107" t="s">
        <v>2196</v>
      </c>
      <c r="D21" s="107" t="s">
        <v>2197</v>
      </c>
      <c r="E21" s="107" t="s">
        <v>2198</v>
      </c>
      <c r="F21" s="107" t="s">
        <v>2199</v>
      </c>
      <c r="G21" s="107" t="s">
        <v>2200</v>
      </c>
      <c r="H21" s="107" t="s">
        <v>2201</v>
      </c>
      <c r="I21" s="107" t="s">
        <v>2202</v>
      </c>
      <c r="J21" s="107" t="s">
        <v>2203</v>
      </c>
      <c r="K21" s="107" t="s">
        <v>2204</v>
      </c>
      <c r="L21" s="107" t="s">
        <v>2205</v>
      </c>
      <c r="M21" s="107" t="s">
        <v>2206</v>
      </c>
      <c r="N21" s="107" t="s">
        <v>2207</v>
      </c>
      <c r="O21" s="107" t="s">
        <v>2208</v>
      </c>
      <c r="P21" s="107" t="s">
        <v>2209</v>
      </c>
      <c r="Q21" s="107" t="s">
        <v>2210</v>
      </c>
      <c r="R21" s="107" t="s">
        <v>2211</v>
      </c>
      <c r="S21" s="107" t="s">
        <v>2212</v>
      </c>
      <c r="T21" s="107"/>
    </row>
    <row r="22" spans="1:20" x14ac:dyDescent="0.55000000000000004">
      <c r="A22" s="53">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107"/>
    </row>
    <row r="23" spans="1:20" x14ac:dyDescent="0.55000000000000004">
      <c r="A23" s="107"/>
      <c r="B23" s="107"/>
      <c r="C23" s="107"/>
      <c r="D23" s="107"/>
      <c r="E23" s="107"/>
      <c r="F23" s="107"/>
      <c r="G23" s="107"/>
      <c r="H23" s="107"/>
      <c r="I23" s="107"/>
      <c r="J23" s="107"/>
      <c r="K23" s="107"/>
      <c r="L23" s="107"/>
      <c r="M23" s="107"/>
      <c r="N23" s="107"/>
      <c r="O23" s="107"/>
      <c r="P23" s="107"/>
      <c r="Q23" s="107"/>
      <c r="R23" s="107"/>
      <c r="S23" s="107"/>
      <c r="T23" s="107"/>
    </row>
    <row r="24" spans="1:20" x14ac:dyDescent="0.55000000000000004">
      <c r="A24" s="107" t="s">
        <v>2213</v>
      </c>
      <c r="B24" s="107" t="s">
        <v>2214</v>
      </c>
      <c r="C24" s="107" t="s">
        <v>2215</v>
      </c>
      <c r="D24" s="107" t="s">
        <v>2216</v>
      </c>
      <c r="E24" s="107" t="s">
        <v>2217</v>
      </c>
      <c r="F24" s="107" t="s">
        <v>2218</v>
      </c>
      <c r="G24" s="107" t="s">
        <v>2219</v>
      </c>
      <c r="H24" s="107" t="s">
        <v>2220</v>
      </c>
      <c r="I24" s="107" t="s">
        <v>2221</v>
      </c>
      <c r="J24" s="107" t="s">
        <v>2222</v>
      </c>
      <c r="K24" s="107" t="s">
        <v>2223</v>
      </c>
      <c r="L24" s="107" t="s">
        <v>2214</v>
      </c>
      <c r="M24" s="107" t="s">
        <v>2215</v>
      </c>
      <c r="N24" s="107" t="s">
        <v>2216</v>
      </c>
      <c r="O24" s="107" t="s">
        <v>2217</v>
      </c>
      <c r="P24" s="107" t="s">
        <v>2218</v>
      </c>
      <c r="Q24" s="107" t="s">
        <v>2219</v>
      </c>
      <c r="R24" s="107" t="s">
        <v>2220</v>
      </c>
      <c r="S24" s="107" t="s">
        <v>2221</v>
      </c>
      <c r="T24" s="107"/>
    </row>
    <row r="25" spans="1:20" x14ac:dyDescent="0.55000000000000004">
      <c r="A25" s="53">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107"/>
    </row>
    <row r="26" spans="1:20" x14ac:dyDescent="0.55000000000000004">
      <c r="A26" s="107"/>
      <c r="B26" s="107"/>
      <c r="C26" s="107"/>
      <c r="D26" s="107"/>
      <c r="E26" s="107"/>
      <c r="F26" s="107"/>
      <c r="G26" s="107"/>
      <c r="H26" s="107"/>
      <c r="I26" s="107"/>
      <c r="J26" s="107"/>
      <c r="K26" s="107"/>
      <c r="L26" s="107"/>
      <c r="M26" s="107"/>
      <c r="N26" s="107"/>
      <c r="O26" s="107"/>
      <c r="P26" s="107"/>
      <c r="Q26" s="107"/>
      <c r="R26" s="107"/>
      <c r="S26" s="107"/>
      <c r="T26" s="107"/>
    </row>
    <row r="27" spans="1:20" x14ac:dyDescent="0.55000000000000004">
      <c r="A27" s="107" t="s">
        <v>2224</v>
      </c>
      <c r="B27" s="107" t="s">
        <v>2225</v>
      </c>
      <c r="C27" s="107" t="s">
        <v>2226</v>
      </c>
      <c r="D27" s="107" t="s">
        <v>2227</v>
      </c>
      <c r="E27" s="107" t="s">
        <v>2228</v>
      </c>
      <c r="F27" s="107"/>
      <c r="G27" s="107"/>
      <c r="H27" s="107"/>
      <c r="I27" s="107"/>
      <c r="J27" s="107"/>
      <c r="K27" s="107"/>
      <c r="L27" s="107"/>
      <c r="M27" s="107"/>
      <c r="N27" s="107"/>
      <c r="O27" s="107"/>
      <c r="P27" s="107"/>
      <c r="Q27" s="107"/>
      <c r="R27" s="107"/>
      <c r="S27" s="107"/>
      <c r="T27" s="107"/>
    </row>
    <row r="28" spans="1:20" x14ac:dyDescent="0.55000000000000004">
      <c r="A28" s="53">
        <v>1</v>
      </c>
      <c r="B28" s="7">
        <v>20000</v>
      </c>
      <c r="C28" s="53"/>
      <c r="D28" s="53"/>
      <c r="E28" s="53"/>
      <c r="F28" s="107"/>
      <c r="G28" s="107"/>
      <c r="H28" s="107"/>
      <c r="I28" s="107"/>
      <c r="J28" s="107"/>
      <c r="K28" s="107"/>
      <c r="L28" s="107"/>
      <c r="M28" s="107"/>
      <c r="N28" s="107"/>
      <c r="O28" s="107"/>
      <c r="P28" s="107"/>
      <c r="Q28" s="107"/>
      <c r="R28" s="107"/>
      <c r="S28" s="107"/>
      <c r="T28" s="107"/>
    </row>
    <row r="29" spans="1:20" x14ac:dyDescent="0.55000000000000004">
      <c r="A29" s="107"/>
      <c r="B29" s="107"/>
      <c r="C29" s="107"/>
      <c r="D29" s="107"/>
      <c r="E29" s="107"/>
      <c r="F29" s="107"/>
      <c r="G29" s="107"/>
      <c r="H29" s="107"/>
      <c r="I29" s="107"/>
      <c r="J29" s="107"/>
      <c r="K29" s="107"/>
      <c r="L29" s="107"/>
      <c r="M29" s="107"/>
      <c r="N29" s="107"/>
      <c r="O29" s="107"/>
      <c r="P29" s="107"/>
      <c r="Q29" s="107"/>
      <c r="R29" s="107"/>
      <c r="S29" s="107"/>
      <c r="T29" s="107"/>
    </row>
    <row r="30" spans="1:20" x14ac:dyDescent="0.55000000000000004">
      <c r="A30" s="107" t="s">
        <v>2229</v>
      </c>
      <c r="B30" s="107"/>
      <c r="C30" s="107"/>
      <c r="D30" s="107"/>
      <c r="E30" s="107"/>
      <c r="F30" s="107"/>
      <c r="G30" s="107"/>
      <c r="H30" s="107"/>
      <c r="I30" s="107"/>
      <c r="J30" s="107"/>
      <c r="K30" s="107"/>
      <c r="L30" s="107"/>
      <c r="M30" s="107"/>
      <c r="N30" s="107"/>
      <c r="O30" s="107"/>
      <c r="P30" s="107"/>
      <c r="Q30" s="107"/>
      <c r="R30" s="107"/>
      <c r="S30" s="107"/>
      <c r="T30" s="107"/>
    </row>
    <row r="31" spans="1:20" x14ac:dyDescent="0.55000000000000004">
      <c r="A31" s="53">
        <v>1</v>
      </c>
      <c r="B31" s="7" t="s">
        <v>2230</v>
      </c>
      <c r="C31" s="107"/>
      <c r="D31" s="107"/>
      <c r="E31" s="107"/>
      <c r="F31" s="107"/>
      <c r="G31" s="107"/>
      <c r="H31" s="107"/>
      <c r="I31" s="107"/>
      <c r="J31" s="107"/>
      <c r="K31" s="107"/>
      <c r="L31" s="107"/>
      <c r="M31" s="107"/>
      <c r="N31" s="107"/>
      <c r="O31" s="107"/>
      <c r="P31" s="107"/>
      <c r="Q31" s="107"/>
      <c r="R31" s="107"/>
      <c r="S31" s="107"/>
      <c r="T31" s="107"/>
    </row>
    <row r="32" spans="1:20" x14ac:dyDescent="0.55000000000000004">
      <c r="A32" s="107"/>
      <c r="B32" s="107"/>
      <c r="C32" s="107"/>
      <c r="D32" s="107"/>
      <c r="E32" s="107"/>
      <c r="F32" s="107"/>
      <c r="G32" s="107"/>
      <c r="H32" s="107"/>
      <c r="I32" s="107"/>
      <c r="J32" s="107"/>
      <c r="K32" s="107"/>
      <c r="L32" s="107"/>
      <c r="M32" s="107"/>
      <c r="N32" s="107"/>
      <c r="O32" s="107"/>
      <c r="P32" s="107"/>
      <c r="Q32" s="107"/>
      <c r="R32" s="107"/>
      <c r="S32" s="107"/>
      <c r="T32" s="107"/>
    </row>
    <row r="36" spans="5:5" x14ac:dyDescent="0.55000000000000004">
      <c r="E36" t="s">
        <v>1613</v>
      </c>
    </row>
    <row r="37" spans="5:5" x14ac:dyDescent="0.55000000000000004">
      <c r="E37" s="78" t="s">
        <v>1612</v>
      </c>
    </row>
  </sheetData>
  <hyperlinks>
    <hyperlink ref="E37" location="'Index of Sheets'!A1" display="'Index of Sheets'!A1" xr:uid="{6797C183-7F44-4443-B5C8-F2A9CEB47C3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1]!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2" sqref="H2"/>
    </sheetView>
  </sheetViews>
  <sheetFormatPr defaultRowHeight="14.4" x14ac:dyDescent="0.55000000000000004"/>
  <cols>
    <col min="9" max="9" width="11.578125" bestFit="1" customWidth="1"/>
  </cols>
  <sheetData>
    <row r="1" spans="1:17" x14ac:dyDescent="0.55000000000000004">
      <c r="A1" s="10" t="s">
        <v>1206</v>
      </c>
      <c r="B1" s="10"/>
      <c r="C1" s="10"/>
      <c r="D1" s="10"/>
      <c r="E1" s="10"/>
      <c r="F1" s="10"/>
      <c r="H1" t="s">
        <v>1613</v>
      </c>
    </row>
    <row r="2" spans="1:17" x14ac:dyDescent="0.55000000000000004">
      <c r="A2" s="10" t="s">
        <v>1210</v>
      </c>
      <c r="B2" s="10"/>
      <c r="C2" s="10"/>
      <c r="D2" s="10"/>
      <c r="E2" s="10"/>
      <c r="F2" s="10"/>
      <c r="H2" s="78" t="s">
        <v>1612</v>
      </c>
      <c r="M2" s="13" t="s">
        <v>454</v>
      </c>
      <c r="N2" s="6" t="s">
        <v>451</v>
      </c>
      <c r="O2" s="5" t="s">
        <v>954</v>
      </c>
      <c r="P2" s="6" t="s">
        <v>955</v>
      </c>
      <c r="Q2" s="46" t="s">
        <v>1200</v>
      </c>
    </row>
    <row r="3" spans="1:17" x14ac:dyDescent="0.55000000000000004">
      <c r="A3" s="10" t="s">
        <v>1207</v>
      </c>
      <c r="B3" s="10" t="s">
        <v>60</v>
      </c>
      <c r="C3" s="10" t="s">
        <v>61</v>
      </c>
      <c r="D3" s="10" t="s">
        <v>62</v>
      </c>
      <c r="E3" s="10" t="s">
        <v>1208</v>
      </c>
      <c r="F3" s="10" t="s">
        <v>1209</v>
      </c>
      <c r="M3" s="15">
        <v>1</v>
      </c>
      <c r="N3" s="7" t="s">
        <v>961</v>
      </c>
      <c r="O3" s="7" t="s">
        <v>1168</v>
      </c>
      <c r="P3" s="7" t="s">
        <v>940</v>
      </c>
      <c r="Q3" s="40" t="s">
        <v>17</v>
      </c>
    </row>
    <row r="4" spans="1:17" x14ac:dyDescent="0.55000000000000004">
      <c r="A4" s="10">
        <v>1</v>
      </c>
      <c r="B4" s="10">
        <v>14</v>
      </c>
      <c r="C4" s="10">
        <v>0.6</v>
      </c>
      <c r="D4" s="10">
        <v>2</v>
      </c>
      <c r="E4" s="10">
        <v>1</v>
      </c>
      <c r="F4" s="10">
        <v>1</v>
      </c>
      <c r="I4" t="s">
        <v>1213</v>
      </c>
      <c r="M4" s="13">
        <v>2</v>
      </c>
      <c r="N4" s="7" t="s">
        <v>962</v>
      </c>
      <c r="O4" s="7" t="s">
        <v>1169</v>
      </c>
      <c r="P4" s="7" t="s">
        <v>940</v>
      </c>
      <c r="Q4" s="40" t="s">
        <v>17</v>
      </c>
    </row>
    <row r="5" spans="1:17" x14ac:dyDescent="0.55000000000000004">
      <c r="A5" s="10">
        <v>100</v>
      </c>
      <c r="B5" s="10">
        <v>15</v>
      </c>
      <c r="C5" s="10">
        <v>0.5</v>
      </c>
      <c r="D5" s="10">
        <v>1</v>
      </c>
      <c r="E5" s="10">
        <v>1</v>
      </c>
      <c r="F5" s="10">
        <v>1</v>
      </c>
      <c r="I5" t="s">
        <v>1214</v>
      </c>
      <c r="M5" s="15">
        <v>3</v>
      </c>
      <c r="N5" s="7" t="s">
        <v>963</v>
      </c>
      <c r="O5" s="7" t="s">
        <v>1095</v>
      </c>
      <c r="P5" s="7" t="s">
        <v>940</v>
      </c>
      <c r="Q5" s="40" t="s">
        <v>17</v>
      </c>
    </row>
    <row r="6" spans="1:17" x14ac:dyDescent="0.55000000000000004">
      <c r="A6" s="10">
        <v>250</v>
      </c>
      <c r="B6" s="10">
        <v>13</v>
      </c>
      <c r="C6" s="10">
        <v>0.4</v>
      </c>
      <c r="D6" s="10">
        <v>1</v>
      </c>
      <c r="E6" s="10">
        <v>1</v>
      </c>
      <c r="F6" s="10">
        <v>1</v>
      </c>
      <c r="M6" s="13">
        <v>4</v>
      </c>
      <c r="N6" s="7" t="s">
        <v>964</v>
      </c>
      <c r="O6" s="7" t="s">
        <v>1170</v>
      </c>
      <c r="P6" s="7" t="s">
        <v>940</v>
      </c>
      <c r="Q6" s="40" t="s">
        <v>17</v>
      </c>
    </row>
    <row r="7" spans="1:17" x14ac:dyDescent="0.55000000000000004">
      <c r="A7" s="10">
        <v>365</v>
      </c>
      <c r="B7" s="10">
        <v>12</v>
      </c>
      <c r="C7" s="10">
        <v>0.6</v>
      </c>
      <c r="D7" s="10">
        <v>1</v>
      </c>
      <c r="E7" s="10">
        <v>1</v>
      </c>
      <c r="F7" s="10">
        <v>1</v>
      </c>
      <c r="I7" s="47">
        <f>1000/(365*86400*1000*1000)</f>
        <v>3.1709791983764586E-11</v>
      </c>
      <c r="M7" s="15">
        <v>5</v>
      </c>
      <c r="N7" s="7" t="s">
        <v>965</v>
      </c>
      <c r="O7" s="7" t="s">
        <v>1096</v>
      </c>
      <c r="P7" s="7" t="s">
        <v>940</v>
      </c>
      <c r="Q7" s="40" t="s">
        <v>17</v>
      </c>
    </row>
    <row r="8" spans="1:17" x14ac:dyDescent="0.55000000000000004">
      <c r="A8" s="10">
        <v>400</v>
      </c>
      <c r="B8" s="10">
        <v>11</v>
      </c>
      <c r="C8" s="10">
        <v>0.4</v>
      </c>
      <c r="D8" s="10">
        <v>2</v>
      </c>
      <c r="E8" s="10">
        <v>1</v>
      </c>
      <c r="F8" s="10">
        <v>1</v>
      </c>
      <c r="M8" s="13">
        <v>6</v>
      </c>
      <c r="N8" s="7" t="s">
        <v>966</v>
      </c>
      <c r="O8" s="7" t="s">
        <v>1171</v>
      </c>
      <c r="P8" s="7" t="s">
        <v>940</v>
      </c>
      <c r="Q8" s="40" t="s">
        <v>2</v>
      </c>
    </row>
    <row r="9" spans="1:17" x14ac:dyDescent="0.55000000000000004">
      <c r="M9" s="15">
        <v>7</v>
      </c>
      <c r="N9" s="7" t="s">
        <v>967</v>
      </c>
      <c r="O9" s="7" t="s">
        <v>1172</v>
      </c>
      <c r="P9" s="7" t="s">
        <v>940</v>
      </c>
      <c r="Q9" s="40" t="s">
        <v>2</v>
      </c>
    </row>
    <row r="10" spans="1:17" x14ac:dyDescent="0.55000000000000004">
      <c r="M10" s="13">
        <v>8</v>
      </c>
      <c r="N10" s="7" t="s">
        <v>968</v>
      </c>
      <c r="O10" s="7" t="s">
        <v>1097</v>
      </c>
      <c r="P10" s="7" t="s">
        <v>940</v>
      </c>
      <c r="Q10" s="40" t="s">
        <v>2</v>
      </c>
    </row>
    <row r="11" spans="1:17" x14ac:dyDescent="0.55000000000000004">
      <c r="M11" s="15">
        <v>9</v>
      </c>
      <c r="N11" s="7" t="s">
        <v>969</v>
      </c>
      <c r="O11" s="7" t="s">
        <v>1098</v>
      </c>
      <c r="P11" s="7" t="s">
        <v>924</v>
      </c>
      <c r="Q11" s="40" t="s">
        <v>17</v>
      </c>
    </row>
    <row r="12" spans="1:17" x14ac:dyDescent="0.55000000000000004">
      <c r="M12" s="13">
        <v>10</v>
      </c>
      <c r="N12" s="7" t="s">
        <v>970</v>
      </c>
      <c r="O12" s="7" t="s">
        <v>1099</v>
      </c>
      <c r="P12" s="7" t="s">
        <v>924</v>
      </c>
      <c r="Q12" s="40" t="s">
        <v>17</v>
      </c>
    </row>
    <row r="13" spans="1:17" x14ac:dyDescent="0.55000000000000004">
      <c r="M13" s="15">
        <v>11</v>
      </c>
      <c r="N13" s="7" t="s">
        <v>971</v>
      </c>
      <c r="O13" s="7" t="s">
        <v>1100</v>
      </c>
      <c r="P13" s="7" t="s">
        <v>940</v>
      </c>
      <c r="Q13" s="40" t="s">
        <v>17</v>
      </c>
    </row>
    <row r="14" spans="1:17" x14ac:dyDescent="0.55000000000000004">
      <c r="M14" s="13">
        <v>12</v>
      </c>
      <c r="N14" s="7" t="s">
        <v>972</v>
      </c>
      <c r="O14" s="7" t="s">
        <v>1101</v>
      </c>
      <c r="P14" s="7" t="s">
        <v>940</v>
      </c>
      <c r="Q14" s="40" t="s">
        <v>17</v>
      </c>
    </row>
    <row r="15" spans="1:17" x14ac:dyDescent="0.55000000000000004">
      <c r="M15" s="15">
        <v>13</v>
      </c>
      <c r="N15" s="7" t="s">
        <v>973</v>
      </c>
      <c r="O15" s="7" t="s">
        <v>1102</v>
      </c>
      <c r="P15" s="7" t="s">
        <v>940</v>
      </c>
      <c r="Q15" s="40" t="s">
        <v>17</v>
      </c>
    </row>
    <row r="16" spans="1:17" x14ac:dyDescent="0.55000000000000004">
      <c r="M16" s="13">
        <v>14</v>
      </c>
      <c r="N16" s="7" t="s">
        <v>974</v>
      </c>
      <c r="O16" s="7" t="s">
        <v>1103</v>
      </c>
      <c r="P16" s="7" t="s">
        <v>940</v>
      </c>
      <c r="Q16" s="40" t="s">
        <v>17</v>
      </c>
    </row>
    <row r="17" spans="13:17" x14ac:dyDescent="0.55000000000000004">
      <c r="M17" s="15">
        <v>15</v>
      </c>
      <c r="N17" s="7" t="s">
        <v>975</v>
      </c>
      <c r="O17" s="7" t="s">
        <v>1104</v>
      </c>
      <c r="P17" s="7" t="s">
        <v>924</v>
      </c>
      <c r="Q17" s="40" t="s">
        <v>17</v>
      </c>
    </row>
    <row r="18" spans="13:17" x14ac:dyDescent="0.55000000000000004">
      <c r="M18" s="13">
        <v>16</v>
      </c>
      <c r="N18" s="7" t="s">
        <v>976</v>
      </c>
      <c r="O18" s="7" t="s">
        <v>1105</v>
      </c>
      <c r="P18" s="7" t="s">
        <v>940</v>
      </c>
      <c r="Q18" s="40" t="s">
        <v>17</v>
      </c>
    </row>
    <row r="19" spans="13:17" x14ac:dyDescent="0.55000000000000004">
      <c r="M19" s="15">
        <v>17</v>
      </c>
      <c r="N19" s="7" t="s">
        <v>977</v>
      </c>
      <c r="O19" s="7" t="s">
        <v>1106</v>
      </c>
      <c r="P19" s="7" t="s">
        <v>940</v>
      </c>
      <c r="Q19" s="40" t="s">
        <v>17</v>
      </c>
    </row>
    <row r="20" spans="13:17" x14ac:dyDescent="0.55000000000000004">
      <c r="M20" s="13">
        <v>18</v>
      </c>
      <c r="N20" s="7" t="s">
        <v>978</v>
      </c>
      <c r="O20" s="7" t="s">
        <v>1107</v>
      </c>
      <c r="P20" s="7" t="s">
        <v>940</v>
      </c>
      <c r="Q20" s="40" t="s">
        <v>17</v>
      </c>
    </row>
    <row r="21" spans="13:17" x14ac:dyDescent="0.55000000000000004">
      <c r="M21" s="15">
        <v>19</v>
      </c>
      <c r="N21" s="7" t="s">
        <v>979</v>
      </c>
      <c r="O21" s="7" t="s">
        <v>1108</v>
      </c>
      <c r="P21" s="7" t="s">
        <v>940</v>
      </c>
      <c r="Q21" s="40" t="s">
        <v>17</v>
      </c>
    </row>
    <row r="22" spans="13:17" x14ac:dyDescent="0.55000000000000004">
      <c r="M22" s="13">
        <v>20</v>
      </c>
      <c r="N22" s="7" t="s">
        <v>980</v>
      </c>
      <c r="O22" s="7" t="s">
        <v>1109</v>
      </c>
      <c r="P22" s="7" t="s">
        <v>924</v>
      </c>
      <c r="Q22" s="40" t="s">
        <v>17</v>
      </c>
    </row>
    <row r="23" spans="13:17" x14ac:dyDescent="0.55000000000000004">
      <c r="M23" s="15">
        <v>21</v>
      </c>
      <c r="N23" s="7" t="s">
        <v>981</v>
      </c>
      <c r="O23" s="7" t="s">
        <v>1110</v>
      </c>
      <c r="P23" s="7" t="s">
        <v>924</v>
      </c>
      <c r="Q23" s="40" t="s">
        <v>17</v>
      </c>
    </row>
    <row r="24" spans="13:17" x14ac:dyDescent="0.55000000000000004">
      <c r="M24" s="13">
        <v>22</v>
      </c>
      <c r="N24" s="7" t="s">
        <v>982</v>
      </c>
      <c r="O24" s="7" t="s">
        <v>1111</v>
      </c>
      <c r="P24" s="7" t="s">
        <v>924</v>
      </c>
      <c r="Q24" s="40" t="s">
        <v>17</v>
      </c>
    </row>
    <row r="25" spans="13:17" x14ac:dyDescent="0.55000000000000004">
      <c r="M25" s="15">
        <v>23</v>
      </c>
      <c r="N25" s="7" t="s">
        <v>983</v>
      </c>
      <c r="O25" s="7" t="s">
        <v>1112</v>
      </c>
      <c r="P25" s="7" t="s">
        <v>924</v>
      </c>
      <c r="Q25" s="40" t="s">
        <v>2</v>
      </c>
    </row>
    <row r="26" spans="13:17" x14ac:dyDescent="0.55000000000000004">
      <c r="M26" s="13">
        <v>24</v>
      </c>
      <c r="N26" s="7" t="s">
        <v>984</v>
      </c>
      <c r="O26" s="7" t="s">
        <v>1113</v>
      </c>
      <c r="P26" s="7" t="s">
        <v>924</v>
      </c>
      <c r="Q26" s="40" t="s">
        <v>2</v>
      </c>
    </row>
    <row r="27" spans="13:17" x14ac:dyDescent="0.55000000000000004">
      <c r="M27" s="15">
        <v>25</v>
      </c>
      <c r="N27" s="7" t="s">
        <v>985</v>
      </c>
      <c r="O27" s="7" t="s">
        <v>1114</v>
      </c>
      <c r="P27" s="7" t="s">
        <v>924</v>
      </c>
      <c r="Q27" s="40" t="s">
        <v>17</v>
      </c>
    </row>
    <row r="28" spans="13:17" x14ac:dyDescent="0.55000000000000004">
      <c r="M28" s="13">
        <v>26</v>
      </c>
      <c r="N28" s="7" t="s">
        <v>986</v>
      </c>
      <c r="O28" s="7" t="s">
        <v>1115</v>
      </c>
      <c r="P28" s="7" t="s">
        <v>924</v>
      </c>
      <c r="Q28" s="40" t="s">
        <v>17</v>
      </c>
    </row>
    <row r="29" spans="13:17" x14ac:dyDescent="0.55000000000000004">
      <c r="M29" s="15">
        <v>27</v>
      </c>
      <c r="N29" s="7" t="s">
        <v>987</v>
      </c>
      <c r="O29" s="7" t="s">
        <v>1116</v>
      </c>
      <c r="P29" s="7" t="s">
        <v>924</v>
      </c>
      <c r="Q29" s="40" t="s">
        <v>17</v>
      </c>
    </row>
    <row r="30" spans="13:17" x14ac:dyDescent="0.55000000000000004">
      <c r="M30" s="13">
        <v>28</v>
      </c>
      <c r="N30" s="7" t="s">
        <v>988</v>
      </c>
      <c r="O30" s="7" t="s">
        <v>1117</v>
      </c>
      <c r="P30" s="7" t="s">
        <v>924</v>
      </c>
      <c r="Q30" s="40"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11430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G56" sqref="G56"/>
    </sheetView>
  </sheetViews>
  <sheetFormatPr defaultRowHeight="14.4" x14ac:dyDescent="0.55000000000000004"/>
  <cols>
    <col min="1" max="1" width="21.578125" customWidth="1"/>
    <col min="2" max="2" width="35.1015625" customWidth="1"/>
    <col min="3" max="3" width="16.734375" customWidth="1"/>
    <col min="4" max="4" width="23.578125" customWidth="1"/>
  </cols>
  <sheetData>
    <row r="1" spans="1:12" x14ac:dyDescent="0.55000000000000004">
      <c r="A1" s="70" t="s">
        <v>1470</v>
      </c>
      <c r="B1" s="70"/>
      <c r="C1" s="70"/>
      <c r="D1" s="70"/>
      <c r="E1" s="2"/>
      <c r="F1" s="2"/>
      <c r="G1" s="2"/>
      <c r="H1" s="2"/>
      <c r="I1" s="2"/>
      <c r="J1" s="2"/>
      <c r="K1" s="2"/>
      <c r="L1" s="2"/>
    </row>
    <row r="2" spans="1:12" x14ac:dyDescent="0.55000000000000004">
      <c r="A2" s="7" t="s">
        <v>2</v>
      </c>
      <c r="B2" s="70"/>
      <c r="C2" s="70"/>
      <c r="D2" s="70"/>
      <c r="E2" s="2"/>
      <c r="F2" s="2"/>
      <c r="G2" s="2"/>
      <c r="H2" s="2"/>
      <c r="I2" t="s">
        <v>1613</v>
      </c>
      <c r="J2" s="2"/>
      <c r="K2" s="2"/>
      <c r="L2" s="2"/>
    </row>
    <row r="3" spans="1:12" x14ac:dyDescent="0.55000000000000004">
      <c r="A3" s="71" t="s">
        <v>1461</v>
      </c>
      <c r="B3" s="71" t="s">
        <v>1471</v>
      </c>
      <c r="C3" s="70"/>
      <c r="D3" s="70"/>
      <c r="E3" s="2"/>
      <c r="F3" s="2"/>
      <c r="G3" s="2"/>
      <c r="H3" s="2"/>
      <c r="I3" s="78" t="s">
        <v>1612</v>
      </c>
      <c r="J3" s="2"/>
      <c r="K3" s="2"/>
      <c r="L3" s="2"/>
    </row>
    <row r="4" spans="1:12" x14ac:dyDescent="0.55000000000000004">
      <c r="A4" s="7">
        <v>1</v>
      </c>
      <c r="B4" s="7">
        <v>1</v>
      </c>
      <c r="C4" s="70"/>
      <c r="D4" s="70"/>
      <c r="E4" s="2"/>
      <c r="F4" s="2"/>
      <c r="G4" s="2"/>
      <c r="H4" s="2"/>
      <c r="I4" s="2"/>
      <c r="J4" s="2"/>
      <c r="K4" s="2"/>
      <c r="L4" s="2"/>
    </row>
    <row r="5" spans="1:12" x14ac:dyDescent="0.55000000000000004">
      <c r="A5" s="71" t="s">
        <v>1462</v>
      </c>
      <c r="B5" s="71" t="s">
        <v>1463</v>
      </c>
      <c r="C5" s="71" t="s">
        <v>1464</v>
      </c>
      <c r="D5" s="70"/>
      <c r="E5" s="2"/>
      <c r="F5" s="2"/>
      <c r="G5" s="2"/>
      <c r="H5" s="2"/>
      <c r="I5" s="2"/>
      <c r="J5" s="2"/>
      <c r="K5" s="2"/>
      <c r="L5" s="2"/>
    </row>
    <row r="6" spans="1:12" x14ac:dyDescent="0.55000000000000004">
      <c r="A6" s="7">
        <v>31</v>
      </c>
      <c r="B6" s="7">
        <v>1.5</v>
      </c>
      <c r="C6" s="7">
        <v>1</v>
      </c>
      <c r="D6" s="70"/>
      <c r="E6" s="2" t="s">
        <v>1477</v>
      </c>
      <c r="G6" s="2"/>
      <c r="H6" s="2"/>
      <c r="I6" s="2"/>
      <c r="J6" s="2"/>
      <c r="K6" s="2"/>
      <c r="L6" s="2"/>
    </row>
    <row r="7" spans="1:12" x14ac:dyDescent="0.55000000000000004">
      <c r="A7" s="71" t="s">
        <v>1465</v>
      </c>
      <c r="B7" s="72" t="s">
        <v>1472</v>
      </c>
      <c r="C7" s="73"/>
      <c r="D7" s="73"/>
      <c r="E7" s="2"/>
      <c r="G7" s="2"/>
      <c r="H7" s="2"/>
      <c r="I7" s="2"/>
      <c r="J7" s="2"/>
      <c r="K7" s="2"/>
      <c r="L7" s="2"/>
    </row>
    <row r="8" spans="1:12" x14ac:dyDescent="0.55000000000000004">
      <c r="A8" s="7">
        <v>0</v>
      </c>
      <c r="B8" s="7">
        <v>2</v>
      </c>
      <c r="C8" s="73"/>
      <c r="D8" s="73"/>
      <c r="E8" s="2"/>
      <c r="G8" s="2"/>
      <c r="H8" s="2"/>
      <c r="I8" s="2"/>
      <c r="J8" s="2"/>
      <c r="K8" s="2"/>
      <c r="L8" s="2"/>
    </row>
    <row r="9" spans="1:12" x14ac:dyDescent="0.55000000000000004">
      <c r="A9" s="71" t="s">
        <v>1466</v>
      </c>
      <c r="B9" s="71" t="s">
        <v>1467</v>
      </c>
      <c r="C9" s="71" t="s">
        <v>1468</v>
      </c>
      <c r="D9" s="71" t="s">
        <v>1469</v>
      </c>
      <c r="E9" s="23" t="s">
        <v>1476</v>
      </c>
      <c r="F9" s="2"/>
      <c r="G9" s="2"/>
      <c r="H9" s="2"/>
      <c r="I9" s="2"/>
      <c r="J9" s="2"/>
      <c r="K9" s="2"/>
      <c r="L9" s="2"/>
    </row>
    <row r="10" spans="1:12" x14ac:dyDescent="0.55000000000000004">
      <c r="A10" s="7">
        <v>1</v>
      </c>
      <c r="B10" s="7">
        <v>1</v>
      </c>
      <c r="C10" s="7">
        <v>1.5</v>
      </c>
      <c r="D10" s="7">
        <v>0.25</v>
      </c>
      <c r="E10" s="2" t="s">
        <v>1478</v>
      </c>
      <c r="F10" s="2"/>
      <c r="G10" s="2"/>
      <c r="H10" s="2"/>
      <c r="I10" s="2"/>
      <c r="J10" s="2"/>
      <c r="K10" s="2"/>
      <c r="L10" s="2"/>
    </row>
    <row r="11" spans="1:12" x14ac:dyDescent="0.55000000000000004">
      <c r="A11" s="70"/>
      <c r="B11" s="70"/>
      <c r="C11" s="70"/>
      <c r="D11" s="70"/>
      <c r="E11" s="2"/>
      <c r="F11" s="2"/>
      <c r="G11" s="2"/>
      <c r="H11" s="2"/>
      <c r="I11" s="2"/>
      <c r="J11" s="2"/>
      <c r="K11" s="2"/>
      <c r="L11" s="2"/>
    </row>
    <row r="15" spans="1:12" x14ac:dyDescent="0.55000000000000004">
      <c r="B15" s="28" t="s">
        <v>1475</v>
      </c>
    </row>
    <row r="16" spans="1:12" x14ac:dyDescent="0.55000000000000004">
      <c r="B16" s="2" t="s">
        <v>1473</v>
      </c>
    </row>
    <row r="17" spans="2:2" x14ac:dyDescent="0.55000000000000004">
      <c r="B17" s="2" t="s">
        <v>1474</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95250</xdr:rowOff>
                  </from>
                  <to>
                    <xdr:col>7</xdr:col>
                    <xdr:colOff>49530</xdr:colOff>
                    <xdr:row>4</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topLeftCell="N1" workbookViewId="0">
      <selection activeCell="X2" sqref="X2"/>
    </sheetView>
  </sheetViews>
  <sheetFormatPr defaultRowHeight="14.4" x14ac:dyDescent="0.55000000000000004"/>
  <sheetData>
    <row r="1" spans="1:24" x14ac:dyDescent="0.55000000000000004">
      <c r="A1" s="59" t="s">
        <v>1558</v>
      </c>
      <c r="B1" s="59"/>
      <c r="C1" s="59"/>
      <c r="D1" s="59"/>
      <c r="E1" s="59"/>
      <c r="F1" s="59"/>
      <c r="G1" s="59"/>
      <c r="H1" s="59"/>
      <c r="I1" s="59"/>
      <c r="J1" s="59"/>
      <c r="K1" s="59"/>
      <c r="L1" s="59"/>
      <c r="M1" s="59"/>
      <c r="N1" s="59"/>
      <c r="O1" s="59"/>
      <c r="P1" s="59"/>
      <c r="Q1" s="59"/>
      <c r="R1" s="59"/>
      <c r="S1" s="59"/>
      <c r="T1" s="59"/>
      <c r="U1" s="59"/>
      <c r="V1" s="59"/>
      <c r="X1" t="s">
        <v>1613</v>
      </c>
    </row>
    <row r="2" spans="1:24" x14ac:dyDescent="0.55000000000000004">
      <c r="A2" s="7" t="s">
        <v>17</v>
      </c>
      <c r="B2" s="59"/>
      <c r="C2" s="59"/>
      <c r="D2" s="59"/>
      <c r="E2" s="59"/>
      <c r="F2" s="59"/>
      <c r="G2" s="59"/>
      <c r="H2" s="59"/>
      <c r="I2" s="59"/>
      <c r="J2" s="59"/>
      <c r="K2" s="59"/>
      <c r="L2" s="59"/>
      <c r="M2" s="59"/>
      <c r="N2" s="59"/>
      <c r="O2" s="59"/>
      <c r="P2" s="59"/>
      <c r="Q2" s="59"/>
      <c r="R2" s="59"/>
      <c r="S2" s="59"/>
      <c r="T2" s="59"/>
      <c r="U2" s="59"/>
      <c r="V2" s="59"/>
      <c r="X2" s="78" t="s">
        <v>1612</v>
      </c>
    </row>
    <row r="3" spans="1:24" x14ac:dyDescent="0.55000000000000004">
      <c r="A3" s="59" t="s">
        <v>1559</v>
      </c>
      <c r="B3" s="59"/>
      <c r="C3" s="59"/>
      <c r="D3" s="59"/>
      <c r="E3" s="59"/>
      <c r="F3" s="59"/>
      <c r="G3" s="59"/>
      <c r="H3" s="59"/>
      <c r="I3" s="59"/>
      <c r="J3" s="59"/>
      <c r="K3" s="59"/>
      <c r="L3" s="59"/>
      <c r="M3" s="59"/>
      <c r="N3" s="59"/>
      <c r="O3" s="59"/>
      <c r="P3" s="59"/>
      <c r="Q3" s="59"/>
      <c r="R3" s="59"/>
      <c r="S3" s="59"/>
      <c r="T3" s="59"/>
      <c r="U3" s="59"/>
      <c r="V3" s="59"/>
    </row>
    <row r="4" spans="1:24" x14ac:dyDescent="0.55000000000000004">
      <c r="A4" s="7">
        <v>1</v>
      </c>
      <c r="B4" s="7">
        <v>1</v>
      </c>
      <c r="C4" s="59"/>
      <c r="D4" s="59"/>
      <c r="E4" s="59"/>
      <c r="F4" s="59"/>
      <c r="G4" s="59"/>
      <c r="H4" s="59"/>
      <c r="I4" s="59"/>
      <c r="J4" s="59"/>
      <c r="K4" s="59"/>
      <c r="L4" s="59"/>
      <c r="M4" s="59"/>
      <c r="N4" s="59"/>
      <c r="O4" s="59"/>
      <c r="P4" s="59"/>
      <c r="Q4" s="59"/>
      <c r="R4" s="59"/>
      <c r="S4" s="59"/>
      <c r="T4" s="59"/>
      <c r="U4" s="59"/>
      <c r="V4" s="59"/>
    </row>
    <row r="5" spans="1:24" x14ac:dyDescent="0.55000000000000004">
      <c r="A5" s="6" t="s">
        <v>1560</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6" t="s">
        <v>1561</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6" t="s">
        <v>1562</v>
      </c>
      <c r="B9" s="6"/>
      <c r="C9" s="6"/>
      <c r="D9" s="6"/>
      <c r="E9" s="6"/>
      <c r="F9" s="6"/>
      <c r="G9" s="6"/>
      <c r="H9" s="6"/>
      <c r="I9" s="6"/>
      <c r="J9" s="6"/>
      <c r="K9" s="6"/>
      <c r="L9" s="6"/>
      <c r="M9" s="6"/>
      <c r="N9" s="6"/>
      <c r="O9" s="6"/>
      <c r="P9" s="6"/>
      <c r="Q9" s="6"/>
      <c r="R9" s="6"/>
      <c r="S9" s="6"/>
      <c r="T9" s="6"/>
      <c r="U9" s="6"/>
      <c r="V9" s="6"/>
    </row>
    <row r="10" spans="1:24" x14ac:dyDescent="0.55000000000000004">
      <c r="A10" s="7">
        <v>1</v>
      </c>
      <c r="B10" s="6"/>
      <c r="C10" s="6"/>
      <c r="D10" s="6"/>
      <c r="E10" s="6"/>
      <c r="F10" s="6"/>
      <c r="G10" s="6"/>
      <c r="H10" s="6"/>
      <c r="I10" s="6"/>
      <c r="J10" s="6"/>
      <c r="K10" s="6"/>
      <c r="L10" s="6"/>
      <c r="M10" s="6"/>
      <c r="N10" s="6"/>
      <c r="O10" s="6"/>
      <c r="P10" s="6"/>
      <c r="Q10" s="6"/>
      <c r="R10" s="6"/>
      <c r="S10" s="6"/>
      <c r="T10" s="6"/>
      <c r="U10" s="6"/>
      <c r="V10" s="6"/>
    </row>
    <row r="11" spans="1:24" x14ac:dyDescent="0.55000000000000004">
      <c r="A11" s="6" t="s">
        <v>1563</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6"/>
      <c r="C12" s="6"/>
      <c r="D12" s="6"/>
      <c r="E12" s="6"/>
      <c r="F12" s="6"/>
      <c r="G12" s="6"/>
      <c r="H12" s="6"/>
      <c r="I12" s="6"/>
      <c r="J12" s="6"/>
      <c r="K12" s="6"/>
      <c r="L12" s="6"/>
      <c r="M12" s="6"/>
      <c r="N12" s="6"/>
      <c r="O12" s="6"/>
      <c r="P12" s="6"/>
      <c r="Q12" s="6"/>
      <c r="R12" s="6"/>
      <c r="S12" s="6"/>
      <c r="T12" s="6"/>
      <c r="U12" s="6"/>
      <c r="V12" s="6"/>
    </row>
    <row r="13" spans="1:24" x14ac:dyDescent="0.55000000000000004">
      <c r="A13" s="6" t="s">
        <v>1564</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1565</v>
      </c>
      <c r="B15" s="6" t="s">
        <v>1566</v>
      </c>
      <c r="C15" s="6" t="s">
        <v>1567</v>
      </c>
      <c r="D15" s="6" t="s">
        <v>1568</v>
      </c>
      <c r="E15" s="6" t="s">
        <v>1569</v>
      </c>
      <c r="F15" s="6" t="s">
        <v>1570</v>
      </c>
      <c r="G15" s="6" t="s">
        <v>1571</v>
      </c>
      <c r="H15" s="6" t="s">
        <v>1572</v>
      </c>
      <c r="I15" s="6" t="s">
        <v>1573</v>
      </c>
      <c r="J15" s="6"/>
      <c r="K15" s="6"/>
      <c r="L15" s="6"/>
      <c r="M15" s="6"/>
      <c r="N15" s="6"/>
      <c r="O15" s="6"/>
      <c r="P15" s="6"/>
      <c r="Q15" s="6"/>
      <c r="R15" s="6"/>
      <c r="S15" s="6"/>
      <c r="T15" s="6"/>
      <c r="U15" s="6"/>
      <c r="V15" s="6"/>
    </row>
    <row r="16" spans="1:24" x14ac:dyDescent="0.55000000000000004">
      <c r="A16" s="7">
        <v>2</v>
      </c>
      <c r="B16" s="7">
        <v>1.5707960000000001</v>
      </c>
      <c r="C16" s="7"/>
      <c r="D16" s="7">
        <v>0</v>
      </c>
      <c r="E16" s="7"/>
      <c r="F16" s="7"/>
      <c r="G16" s="7">
        <v>25</v>
      </c>
      <c r="H16" s="7">
        <v>0.05</v>
      </c>
      <c r="I16" s="6"/>
      <c r="J16" s="6"/>
      <c r="K16" s="6"/>
      <c r="L16" s="6"/>
      <c r="M16" s="6"/>
      <c r="N16" s="6"/>
      <c r="O16" s="6"/>
      <c r="P16" s="6"/>
      <c r="Q16" s="6"/>
      <c r="R16" s="6"/>
      <c r="S16" s="6"/>
      <c r="T16" s="6"/>
      <c r="U16" s="6"/>
      <c r="V16" s="6"/>
    </row>
    <row r="17" spans="1:22" x14ac:dyDescent="0.55000000000000004">
      <c r="A17" s="6" t="s">
        <v>1574</v>
      </c>
      <c r="B17" s="6" t="s">
        <v>1575</v>
      </c>
      <c r="C17" s="6" t="s">
        <v>1576</v>
      </c>
      <c r="D17" s="6" t="s">
        <v>1577</v>
      </c>
      <c r="E17" s="6" t="s">
        <v>1578</v>
      </c>
      <c r="F17" s="6" t="s">
        <v>1579</v>
      </c>
      <c r="G17" s="6" t="s">
        <v>1580</v>
      </c>
      <c r="H17" s="6" t="s">
        <v>1581</v>
      </c>
      <c r="I17" s="6" t="s">
        <v>1582</v>
      </c>
      <c r="J17" s="6" t="s">
        <v>1570</v>
      </c>
      <c r="K17" s="6" t="s">
        <v>1571</v>
      </c>
      <c r="L17" s="6" t="s">
        <v>1572</v>
      </c>
      <c r="M17" s="6" t="s">
        <v>1583</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1574</v>
      </c>
      <c r="B19" s="6" t="s">
        <v>1575</v>
      </c>
      <c r="C19" s="6" t="s">
        <v>1576</v>
      </c>
      <c r="D19" s="6" t="s">
        <v>1577</v>
      </c>
      <c r="E19" s="6" t="s">
        <v>1578</v>
      </c>
      <c r="F19" s="6" t="s">
        <v>1584</v>
      </c>
      <c r="G19" s="6" t="s">
        <v>1585</v>
      </c>
      <c r="H19" s="6" t="s">
        <v>1586</v>
      </c>
      <c r="I19" s="6" t="s">
        <v>1587</v>
      </c>
      <c r="J19" s="6" t="s">
        <v>1588</v>
      </c>
      <c r="K19" s="6" t="s">
        <v>1589</v>
      </c>
      <c r="L19" s="6" t="s">
        <v>1590</v>
      </c>
      <c r="M19" s="6" t="s">
        <v>1591</v>
      </c>
      <c r="N19" s="6" t="s">
        <v>1570</v>
      </c>
      <c r="O19" s="6" t="s">
        <v>1571</v>
      </c>
      <c r="P19" s="6" t="s">
        <v>1572</v>
      </c>
      <c r="Q19" s="6" t="s">
        <v>1592</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1" t="s">
        <v>1560</v>
      </c>
      <c r="B21" s="61"/>
      <c r="C21" s="61"/>
      <c r="D21" s="61"/>
      <c r="E21" s="61"/>
      <c r="F21" s="61"/>
      <c r="G21" s="61"/>
      <c r="H21" s="61"/>
      <c r="I21" s="61"/>
      <c r="J21" s="61"/>
      <c r="K21" s="61"/>
      <c r="L21" s="61"/>
      <c r="M21" s="61"/>
      <c r="N21" s="61"/>
      <c r="O21" s="61"/>
      <c r="P21" s="61"/>
      <c r="Q21" s="61"/>
      <c r="R21" s="61"/>
      <c r="S21" s="61"/>
      <c r="T21" s="61"/>
      <c r="U21" s="61"/>
      <c r="V21" s="61"/>
    </row>
    <row r="22" spans="1:22" x14ac:dyDescent="0.55000000000000004">
      <c r="A22" s="7">
        <v>2</v>
      </c>
      <c r="B22" s="61"/>
      <c r="C22" s="61"/>
      <c r="D22" s="61"/>
      <c r="E22" s="61"/>
      <c r="F22" s="61"/>
      <c r="G22" s="61"/>
      <c r="H22" s="61"/>
      <c r="I22" s="61"/>
      <c r="J22" s="61"/>
      <c r="K22" s="61"/>
      <c r="L22" s="61"/>
      <c r="M22" s="61"/>
      <c r="N22" s="61"/>
      <c r="O22" s="61"/>
      <c r="P22" s="61"/>
      <c r="Q22" s="61"/>
      <c r="R22" s="61"/>
      <c r="S22" s="61"/>
      <c r="T22" s="61"/>
      <c r="U22" s="61"/>
      <c r="V22" s="61"/>
    </row>
    <row r="23" spans="1:22" x14ac:dyDescent="0.55000000000000004">
      <c r="A23" s="61" t="s">
        <v>1561</v>
      </c>
      <c r="B23" s="61"/>
      <c r="C23" s="61"/>
      <c r="D23" s="61"/>
      <c r="E23" s="61"/>
      <c r="F23" s="61"/>
      <c r="G23" s="61"/>
      <c r="H23" s="61"/>
      <c r="I23" s="61"/>
      <c r="J23" s="61"/>
      <c r="K23" s="61"/>
      <c r="L23" s="61"/>
      <c r="M23" s="61"/>
      <c r="N23" s="61"/>
      <c r="O23" s="61"/>
      <c r="P23" s="61"/>
      <c r="Q23" s="61"/>
      <c r="R23" s="61"/>
      <c r="S23" s="61"/>
      <c r="T23" s="61"/>
      <c r="U23" s="61"/>
      <c r="V23" s="61"/>
    </row>
    <row r="24" spans="1:22" x14ac:dyDescent="0.55000000000000004">
      <c r="A24" s="7">
        <v>2</v>
      </c>
      <c r="B24" s="61"/>
      <c r="C24" s="61"/>
      <c r="D24" s="61"/>
      <c r="E24" s="61"/>
      <c r="F24" s="61"/>
      <c r="G24" s="61"/>
      <c r="H24" s="61"/>
      <c r="I24" s="61"/>
      <c r="J24" s="61"/>
      <c r="K24" s="61"/>
      <c r="L24" s="61"/>
      <c r="M24" s="61"/>
      <c r="N24" s="61"/>
      <c r="O24" s="61"/>
      <c r="P24" s="61"/>
      <c r="Q24" s="61"/>
      <c r="R24" s="61"/>
      <c r="S24" s="61"/>
      <c r="T24" s="61"/>
      <c r="U24" s="61"/>
      <c r="V24" s="61"/>
    </row>
    <row r="25" spans="1:22" x14ac:dyDescent="0.55000000000000004">
      <c r="A25" s="61" t="s">
        <v>1562</v>
      </c>
      <c r="B25" s="61"/>
      <c r="C25" s="61"/>
      <c r="D25" s="61"/>
      <c r="E25" s="61"/>
      <c r="F25" s="61"/>
      <c r="G25" s="61"/>
      <c r="H25" s="61"/>
      <c r="I25" s="61"/>
      <c r="J25" s="61"/>
      <c r="K25" s="61"/>
      <c r="L25" s="61"/>
      <c r="M25" s="61"/>
      <c r="N25" s="61"/>
      <c r="O25" s="61"/>
      <c r="P25" s="61"/>
      <c r="Q25" s="61"/>
      <c r="R25" s="61"/>
      <c r="S25" s="61"/>
      <c r="T25" s="61"/>
      <c r="U25" s="61"/>
      <c r="V25" s="61"/>
    </row>
    <row r="26" spans="1:22" x14ac:dyDescent="0.55000000000000004">
      <c r="A26" s="7">
        <v>180</v>
      </c>
      <c r="B26" s="7">
        <v>550</v>
      </c>
      <c r="C26" s="61"/>
      <c r="D26" s="61"/>
      <c r="E26" s="61"/>
      <c r="F26" s="61"/>
      <c r="G26" s="61"/>
      <c r="H26" s="61"/>
      <c r="I26" s="61"/>
      <c r="J26" s="61"/>
      <c r="K26" s="61"/>
      <c r="L26" s="61"/>
      <c r="M26" s="61"/>
      <c r="N26" s="61"/>
      <c r="O26" s="61"/>
      <c r="P26" s="61"/>
      <c r="Q26" s="61"/>
      <c r="R26" s="61"/>
      <c r="S26" s="61"/>
      <c r="T26" s="61"/>
      <c r="U26" s="61"/>
      <c r="V26" s="61"/>
    </row>
    <row r="27" spans="1:22" x14ac:dyDescent="0.55000000000000004">
      <c r="A27" s="61" t="s">
        <v>1563</v>
      </c>
      <c r="B27" s="61"/>
      <c r="C27" s="61"/>
      <c r="D27" s="61"/>
      <c r="E27" s="61"/>
      <c r="F27" s="61"/>
      <c r="G27" s="61"/>
      <c r="H27" s="61"/>
      <c r="I27" s="61"/>
      <c r="J27" s="61"/>
      <c r="K27" s="61"/>
      <c r="L27" s="61"/>
      <c r="M27" s="61"/>
      <c r="N27" s="61"/>
      <c r="O27" s="61"/>
      <c r="P27" s="61"/>
      <c r="Q27" s="61"/>
      <c r="R27" s="61"/>
      <c r="S27" s="61"/>
      <c r="T27" s="61"/>
      <c r="U27" s="61"/>
      <c r="V27" s="61"/>
    </row>
    <row r="28" spans="1:22" x14ac:dyDescent="0.55000000000000004">
      <c r="A28" s="7">
        <v>270</v>
      </c>
      <c r="B28" s="7">
        <v>730</v>
      </c>
      <c r="C28" s="61"/>
      <c r="D28" s="61"/>
      <c r="E28" s="61"/>
      <c r="F28" s="61"/>
      <c r="G28" s="61"/>
      <c r="H28" s="61"/>
      <c r="I28" s="61"/>
      <c r="J28" s="61"/>
      <c r="K28" s="61"/>
      <c r="L28" s="61"/>
      <c r="M28" s="61"/>
      <c r="N28" s="61"/>
      <c r="O28" s="61"/>
      <c r="P28" s="61"/>
      <c r="Q28" s="61"/>
      <c r="R28" s="61"/>
      <c r="S28" s="61"/>
      <c r="T28" s="61"/>
      <c r="U28" s="61"/>
      <c r="V28" s="61"/>
    </row>
    <row r="29" spans="1:22" x14ac:dyDescent="0.55000000000000004">
      <c r="A29" s="61" t="s">
        <v>1564</v>
      </c>
      <c r="B29" s="61"/>
      <c r="C29" s="61"/>
      <c r="D29" s="61"/>
      <c r="E29" s="61"/>
      <c r="F29" s="61"/>
      <c r="G29" s="61"/>
      <c r="H29" s="61"/>
      <c r="I29" s="61"/>
      <c r="J29" s="61"/>
      <c r="K29" s="61"/>
      <c r="L29" s="61"/>
      <c r="M29" s="61"/>
      <c r="N29" s="61"/>
      <c r="O29" s="61"/>
      <c r="P29" s="61"/>
      <c r="Q29" s="61"/>
      <c r="R29" s="61"/>
      <c r="S29" s="61"/>
      <c r="T29" s="61"/>
      <c r="U29" s="61"/>
      <c r="V29" s="61"/>
    </row>
    <row r="30" spans="1:22" x14ac:dyDescent="0.55000000000000004">
      <c r="A30" s="7">
        <v>2</v>
      </c>
      <c r="B30" s="61"/>
      <c r="C30" s="61"/>
      <c r="D30" s="61"/>
      <c r="E30" s="61"/>
      <c r="F30" s="61"/>
      <c r="G30" s="61"/>
      <c r="H30" s="61"/>
      <c r="I30" s="61"/>
      <c r="J30" s="61"/>
      <c r="K30" s="61"/>
      <c r="L30" s="61"/>
      <c r="M30" s="61"/>
      <c r="N30" s="61"/>
      <c r="O30" s="61"/>
      <c r="P30" s="61"/>
      <c r="Q30" s="61"/>
      <c r="R30" s="61"/>
      <c r="S30" s="61"/>
      <c r="T30" s="61"/>
      <c r="U30" s="61"/>
      <c r="V30" s="61"/>
    </row>
    <row r="31" spans="1:22" x14ac:dyDescent="0.55000000000000004">
      <c r="A31" s="61" t="s">
        <v>1565</v>
      </c>
      <c r="B31" s="61" t="s">
        <v>1566</v>
      </c>
      <c r="C31" s="61" t="s">
        <v>1567</v>
      </c>
      <c r="D31" s="61" t="s">
        <v>1568</v>
      </c>
      <c r="E31" s="61" t="s">
        <v>1569</v>
      </c>
      <c r="F31" s="61" t="s">
        <v>1570</v>
      </c>
      <c r="G31" s="61" t="s">
        <v>1571</v>
      </c>
      <c r="H31" s="61" t="s">
        <v>1572</v>
      </c>
      <c r="I31" s="61" t="s">
        <v>1573</v>
      </c>
      <c r="J31" s="61"/>
      <c r="K31" s="61"/>
      <c r="L31" s="61"/>
      <c r="M31" s="61"/>
      <c r="N31" s="61"/>
      <c r="O31" s="61"/>
      <c r="P31" s="61"/>
      <c r="Q31" s="61"/>
      <c r="R31" s="61"/>
      <c r="S31" s="61"/>
      <c r="T31" s="61"/>
      <c r="U31" s="61"/>
      <c r="V31" s="61"/>
    </row>
    <row r="32" spans="1:22" x14ac:dyDescent="0.55000000000000004">
      <c r="A32" s="7">
        <v>1.5</v>
      </c>
      <c r="B32" s="7">
        <v>1.5707960000000001</v>
      </c>
      <c r="C32" s="7">
        <v>0.05</v>
      </c>
      <c r="D32" s="7">
        <v>0</v>
      </c>
      <c r="E32" s="7">
        <v>15</v>
      </c>
      <c r="F32" s="7">
        <v>0</v>
      </c>
      <c r="G32" s="7">
        <v>25</v>
      </c>
      <c r="H32" s="7">
        <v>0.05</v>
      </c>
      <c r="I32" s="61"/>
      <c r="J32" s="61"/>
      <c r="K32" s="61"/>
      <c r="L32" s="61"/>
      <c r="M32" s="61"/>
      <c r="N32" s="61"/>
      <c r="O32" s="61"/>
      <c r="P32" s="61"/>
      <c r="Q32" s="61"/>
      <c r="R32" s="61"/>
      <c r="S32" s="61"/>
      <c r="T32" s="61"/>
      <c r="U32" s="61"/>
      <c r="V32" s="61"/>
    </row>
    <row r="33" spans="1:22" x14ac:dyDescent="0.55000000000000004">
      <c r="A33" s="61" t="s">
        <v>1574</v>
      </c>
      <c r="B33" s="61" t="s">
        <v>1575</v>
      </c>
      <c r="C33" s="61" t="s">
        <v>1576</v>
      </c>
      <c r="D33" s="61" t="s">
        <v>1577</v>
      </c>
      <c r="E33" s="61" t="s">
        <v>1578</v>
      </c>
      <c r="F33" s="61" t="s">
        <v>1579</v>
      </c>
      <c r="G33" s="61" t="s">
        <v>1580</v>
      </c>
      <c r="H33" s="61" t="s">
        <v>1581</v>
      </c>
      <c r="I33" s="61" t="s">
        <v>1582</v>
      </c>
      <c r="J33" s="61" t="s">
        <v>1570</v>
      </c>
      <c r="K33" s="61" t="s">
        <v>1571</v>
      </c>
      <c r="L33" s="61" t="s">
        <v>1572</v>
      </c>
      <c r="M33" s="61" t="s">
        <v>1583</v>
      </c>
      <c r="N33" s="61"/>
      <c r="O33" s="61"/>
      <c r="P33" s="61"/>
      <c r="Q33" s="61"/>
      <c r="R33" s="61"/>
      <c r="S33" s="61"/>
      <c r="T33" s="61"/>
      <c r="U33" s="61"/>
      <c r="V33" s="61"/>
    </row>
    <row r="34" spans="1:22" x14ac:dyDescent="0.55000000000000004">
      <c r="A34" s="61"/>
      <c r="B34" s="61"/>
      <c r="C34" s="61"/>
      <c r="D34" s="61"/>
      <c r="E34" s="61"/>
      <c r="F34" s="61"/>
      <c r="G34" s="61"/>
      <c r="H34" s="61"/>
      <c r="I34" s="61"/>
      <c r="J34" s="61"/>
      <c r="K34" s="61"/>
      <c r="L34" s="61"/>
      <c r="M34" s="61"/>
      <c r="N34" s="61"/>
      <c r="O34" s="61"/>
      <c r="P34" s="61"/>
      <c r="Q34" s="61"/>
      <c r="R34" s="61"/>
      <c r="S34" s="61"/>
      <c r="T34" s="61"/>
      <c r="U34" s="61"/>
      <c r="V34" s="61"/>
    </row>
    <row r="35" spans="1:22" x14ac:dyDescent="0.55000000000000004">
      <c r="A35" s="61" t="s">
        <v>1574</v>
      </c>
      <c r="B35" s="61" t="s">
        <v>1575</v>
      </c>
      <c r="C35" s="61" t="s">
        <v>1576</v>
      </c>
      <c r="D35" s="61" t="s">
        <v>1577</v>
      </c>
      <c r="E35" s="61" t="s">
        <v>1578</v>
      </c>
      <c r="F35" s="61" t="s">
        <v>1584</v>
      </c>
      <c r="G35" s="61" t="s">
        <v>1585</v>
      </c>
      <c r="H35" s="61" t="s">
        <v>1586</v>
      </c>
      <c r="I35" s="61" t="s">
        <v>1587</v>
      </c>
      <c r="J35" s="61" t="s">
        <v>1588</v>
      </c>
      <c r="K35" s="61" t="s">
        <v>1589</v>
      </c>
      <c r="L35" s="61" t="s">
        <v>1590</v>
      </c>
      <c r="M35" s="61" t="s">
        <v>1591</v>
      </c>
      <c r="N35" s="61" t="s">
        <v>1570</v>
      </c>
      <c r="O35" s="61" t="s">
        <v>1571</v>
      </c>
      <c r="P35" s="61" t="s">
        <v>1572</v>
      </c>
      <c r="Q35" s="61" t="s">
        <v>1592</v>
      </c>
      <c r="R35" s="61"/>
      <c r="S35" s="61"/>
      <c r="T35" s="61"/>
      <c r="U35" s="61"/>
      <c r="V35" s="61"/>
    </row>
    <row r="36" spans="1:22" x14ac:dyDescent="0.55000000000000004">
      <c r="A36" s="61"/>
      <c r="B36" s="61"/>
      <c r="C36" s="61"/>
      <c r="D36" s="61"/>
      <c r="E36" s="61"/>
      <c r="F36" s="61"/>
      <c r="G36" s="61"/>
      <c r="H36" s="61"/>
      <c r="I36" s="61"/>
      <c r="J36" s="61"/>
      <c r="K36" s="61"/>
      <c r="L36" s="61"/>
      <c r="M36" s="61"/>
      <c r="N36" s="61"/>
      <c r="O36" s="61"/>
      <c r="P36" s="61"/>
      <c r="Q36" s="61"/>
      <c r="R36" s="61"/>
      <c r="S36" s="61"/>
      <c r="T36" s="61"/>
      <c r="U36" s="61"/>
      <c r="V36" s="61"/>
    </row>
    <row r="37" spans="1:22" x14ac:dyDescent="0.55000000000000004">
      <c r="A37" s="6" t="s">
        <v>1560</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1561</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1562</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1563</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1564</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1565</v>
      </c>
      <c r="B47" s="6" t="s">
        <v>1566</v>
      </c>
      <c r="C47" s="6" t="s">
        <v>1567</v>
      </c>
      <c r="D47" s="6" t="s">
        <v>1568</v>
      </c>
      <c r="E47" s="6" t="s">
        <v>1569</v>
      </c>
      <c r="F47" s="6" t="s">
        <v>1570</v>
      </c>
      <c r="G47" s="6" t="s">
        <v>1571</v>
      </c>
      <c r="H47" s="6" t="s">
        <v>1572</v>
      </c>
      <c r="I47" s="6" t="s">
        <v>1573</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1574</v>
      </c>
      <c r="B49" s="6" t="s">
        <v>1575</v>
      </c>
      <c r="C49" s="6" t="s">
        <v>1576</v>
      </c>
      <c r="D49" s="6" t="s">
        <v>1577</v>
      </c>
      <c r="E49" s="6" t="s">
        <v>1578</v>
      </c>
      <c r="F49" s="6" t="s">
        <v>1579</v>
      </c>
      <c r="G49" s="6" t="s">
        <v>1580</v>
      </c>
      <c r="H49" s="6" t="s">
        <v>1581</v>
      </c>
      <c r="I49" s="6" t="s">
        <v>1582</v>
      </c>
      <c r="J49" s="6" t="s">
        <v>1570</v>
      </c>
      <c r="K49" s="6" t="s">
        <v>1571</v>
      </c>
      <c r="L49" s="6" t="s">
        <v>1572</v>
      </c>
      <c r="M49" s="6" t="s">
        <v>1583</v>
      </c>
      <c r="N49" s="6"/>
      <c r="O49" s="6"/>
      <c r="P49" s="6"/>
      <c r="Q49" s="6"/>
      <c r="R49" s="6"/>
      <c r="S49" s="6"/>
      <c r="T49" s="6"/>
      <c r="U49" s="6"/>
      <c r="V49" s="6"/>
    </row>
    <row r="50" spans="1:22" x14ac:dyDescent="0.55000000000000004">
      <c r="A50" s="79">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1574</v>
      </c>
      <c r="B51" s="6" t="s">
        <v>1575</v>
      </c>
      <c r="C51" s="6" t="s">
        <v>1576</v>
      </c>
      <c r="D51" s="6" t="s">
        <v>1577</v>
      </c>
      <c r="E51" s="6" t="s">
        <v>1578</v>
      </c>
      <c r="F51" s="6" t="s">
        <v>1584</v>
      </c>
      <c r="G51" s="6" t="s">
        <v>1585</v>
      </c>
      <c r="H51" s="6" t="s">
        <v>1586</v>
      </c>
      <c r="I51" s="6" t="s">
        <v>1587</v>
      </c>
      <c r="J51" s="6" t="s">
        <v>1588</v>
      </c>
      <c r="K51" s="6" t="s">
        <v>1589</v>
      </c>
      <c r="L51" s="6" t="s">
        <v>1590</v>
      </c>
      <c r="M51" s="6" t="s">
        <v>1591</v>
      </c>
      <c r="N51" s="6" t="s">
        <v>1570</v>
      </c>
      <c r="O51" s="6" t="s">
        <v>1571</v>
      </c>
      <c r="P51" s="6" t="s">
        <v>1572</v>
      </c>
      <c r="Q51" s="6" t="s">
        <v>1592</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18" t="s">
        <v>1560</v>
      </c>
      <c r="B53" s="18"/>
      <c r="C53" s="18"/>
      <c r="D53" s="18"/>
      <c r="E53" s="18"/>
      <c r="F53" s="18"/>
      <c r="G53" s="18"/>
      <c r="H53" s="18"/>
      <c r="I53" s="18"/>
      <c r="J53" s="18"/>
      <c r="K53" s="18"/>
      <c r="L53" s="18"/>
      <c r="M53" s="18"/>
      <c r="N53" s="18"/>
      <c r="O53" s="18"/>
      <c r="P53" s="18"/>
      <c r="Q53" s="18"/>
      <c r="R53" s="18"/>
      <c r="S53" s="18"/>
      <c r="T53" s="18"/>
      <c r="U53" s="18"/>
      <c r="V53" s="18"/>
    </row>
    <row r="54" spans="1:22" x14ac:dyDescent="0.55000000000000004">
      <c r="A54" s="7">
        <v>4</v>
      </c>
      <c r="B54" s="18"/>
      <c r="C54" s="18"/>
      <c r="D54" s="18"/>
      <c r="E54" s="18"/>
      <c r="F54" s="18"/>
      <c r="G54" s="18"/>
      <c r="H54" s="18"/>
      <c r="I54" s="18"/>
      <c r="J54" s="18"/>
      <c r="K54" s="18"/>
      <c r="L54" s="18"/>
      <c r="M54" s="18"/>
      <c r="N54" s="18"/>
      <c r="O54" s="18"/>
      <c r="P54" s="18"/>
      <c r="Q54" s="18"/>
      <c r="R54" s="18"/>
      <c r="S54" s="18"/>
      <c r="T54" s="18"/>
      <c r="U54" s="18"/>
      <c r="V54" s="18"/>
    </row>
    <row r="55" spans="1:22" x14ac:dyDescent="0.55000000000000004">
      <c r="A55" s="18" t="s">
        <v>1561</v>
      </c>
      <c r="B55" s="18"/>
      <c r="C55" s="18"/>
      <c r="D55" s="18"/>
      <c r="E55" s="18"/>
      <c r="F55" s="18"/>
      <c r="G55" s="18"/>
      <c r="H55" s="18"/>
      <c r="I55" s="18"/>
      <c r="J55" s="18"/>
      <c r="K55" s="18"/>
      <c r="L55" s="18"/>
      <c r="M55" s="18"/>
      <c r="N55" s="18"/>
      <c r="O55" s="18"/>
      <c r="P55" s="18"/>
      <c r="Q55" s="18"/>
      <c r="R55" s="18"/>
      <c r="S55" s="18"/>
      <c r="T55" s="18"/>
      <c r="U55" s="18"/>
      <c r="V55" s="18"/>
    </row>
    <row r="56" spans="1:22" x14ac:dyDescent="0.55000000000000004">
      <c r="A56" s="7">
        <v>1</v>
      </c>
      <c r="B56" s="18"/>
      <c r="C56" s="18"/>
      <c r="D56" s="18"/>
      <c r="E56" s="18"/>
      <c r="F56" s="18"/>
      <c r="G56" s="18"/>
      <c r="H56" s="18"/>
      <c r="I56" s="18"/>
      <c r="J56" s="18"/>
      <c r="K56" s="18"/>
      <c r="L56" s="18"/>
      <c r="M56" s="18"/>
      <c r="N56" s="18"/>
      <c r="O56" s="18"/>
      <c r="P56" s="18"/>
      <c r="Q56" s="18"/>
      <c r="R56" s="18"/>
      <c r="S56" s="18"/>
      <c r="T56" s="18"/>
      <c r="U56" s="18"/>
      <c r="V56" s="18"/>
    </row>
    <row r="57" spans="1:22" x14ac:dyDescent="0.55000000000000004">
      <c r="A57" s="18" t="s">
        <v>1562</v>
      </c>
      <c r="B57" s="18"/>
      <c r="C57" s="18"/>
      <c r="D57" s="18"/>
      <c r="E57" s="18"/>
      <c r="F57" s="18"/>
      <c r="G57" s="18"/>
      <c r="H57" s="18"/>
      <c r="I57" s="18"/>
      <c r="J57" s="18"/>
      <c r="K57" s="18"/>
      <c r="L57" s="18"/>
      <c r="M57" s="18"/>
      <c r="N57" s="18"/>
      <c r="O57" s="18"/>
      <c r="P57" s="18"/>
      <c r="Q57" s="18"/>
      <c r="R57" s="18"/>
      <c r="S57" s="18"/>
      <c r="T57" s="18"/>
      <c r="U57" s="18"/>
      <c r="V57" s="18"/>
    </row>
    <row r="58" spans="1:22" x14ac:dyDescent="0.55000000000000004">
      <c r="A58" s="7">
        <v>1</v>
      </c>
      <c r="B58" s="18"/>
      <c r="C58" s="18"/>
      <c r="D58" s="18"/>
      <c r="E58" s="18"/>
      <c r="F58" s="18"/>
      <c r="G58" s="18"/>
      <c r="H58" s="18"/>
      <c r="I58" s="18"/>
      <c r="J58" s="18"/>
      <c r="K58" s="18"/>
      <c r="L58" s="18"/>
      <c r="M58" s="18"/>
      <c r="N58" s="18"/>
      <c r="O58" s="18"/>
      <c r="P58" s="18"/>
      <c r="Q58" s="18"/>
      <c r="R58" s="18"/>
      <c r="S58" s="18"/>
      <c r="T58" s="18"/>
      <c r="U58" s="18"/>
      <c r="V58" s="18"/>
    </row>
    <row r="59" spans="1:22" x14ac:dyDescent="0.55000000000000004">
      <c r="A59" s="18" t="s">
        <v>1563</v>
      </c>
      <c r="B59" s="18"/>
      <c r="C59" s="18"/>
      <c r="D59" s="18"/>
      <c r="E59" s="18"/>
      <c r="F59" s="18"/>
      <c r="G59" s="18"/>
      <c r="H59" s="18"/>
      <c r="I59" s="18"/>
      <c r="J59" s="18"/>
      <c r="K59" s="18"/>
      <c r="L59" s="18"/>
      <c r="M59" s="18"/>
      <c r="N59" s="18"/>
      <c r="O59" s="18"/>
      <c r="P59" s="18"/>
      <c r="Q59" s="18"/>
      <c r="R59" s="18"/>
      <c r="S59" s="18"/>
      <c r="T59" s="18"/>
      <c r="U59" s="18"/>
      <c r="V59" s="18"/>
    </row>
    <row r="60" spans="1:22" x14ac:dyDescent="0.55000000000000004">
      <c r="A60" s="7">
        <v>10000</v>
      </c>
      <c r="B60" s="18"/>
      <c r="C60" s="18"/>
      <c r="D60" s="18"/>
      <c r="E60" s="18"/>
      <c r="F60" s="18"/>
      <c r="G60" s="18"/>
      <c r="H60" s="18"/>
      <c r="I60" s="18"/>
      <c r="J60" s="18"/>
      <c r="K60" s="18"/>
      <c r="L60" s="18"/>
      <c r="M60" s="18"/>
      <c r="N60" s="18"/>
      <c r="O60" s="18"/>
      <c r="P60" s="18"/>
      <c r="Q60" s="18"/>
      <c r="R60" s="18"/>
      <c r="S60" s="18"/>
      <c r="T60" s="18"/>
      <c r="U60" s="18"/>
      <c r="V60" s="18"/>
    </row>
    <row r="61" spans="1:22" x14ac:dyDescent="0.55000000000000004">
      <c r="A61" s="18" t="s">
        <v>1564</v>
      </c>
      <c r="B61" s="18"/>
      <c r="C61" s="18"/>
      <c r="D61" s="18"/>
      <c r="E61" s="18"/>
      <c r="F61" s="18"/>
      <c r="G61" s="18"/>
      <c r="H61" s="18"/>
      <c r="I61" s="18"/>
      <c r="J61" s="18"/>
      <c r="K61" s="18"/>
      <c r="L61" s="18"/>
      <c r="M61" s="18"/>
      <c r="N61" s="18"/>
      <c r="O61" s="18"/>
      <c r="P61" s="18"/>
      <c r="Q61" s="18"/>
      <c r="R61" s="18"/>
      <c r="S61" s="18"/>
      <c r="T61" s="18"/>
      <c r="U61" s="18"/>
      <c r="V61" s="18"/>
    </row>
    <row r="62" spans="1:22" x14ac:dyDescent="0.55000000000000004">
      <c r="A62" s="7">
        <v>4</v>
      </c>
      <c r="B62" s="18"/>
      <c r="C62" s="18"/>
      <c r="D62" s="18"/>
      <c r="E62" s="18"/>
      <c r="F62" s="18"/>
      <c r="G62" s="18"/>
      <c r="H62" s="18"/>
      <c r="I62" s="18"/>
      <c r="J62" s="18"/>
      <c r="K62" s="18"/>
      <c r="L62" s="18"/>
      <c r="M62" s="18"/>
      <c r="N62" s="18"/>
      <c r="O62" s="18"/>
      <c r="P62" s="18"/>
      <c r="Q62" s="18"/>
      <c r="R62" s="18"/>
      <c r="S62" s="18"/>
      <c r="T62" s="18"/>
      <c r="U62" s="18"/>
      <c r="V62" s="18"/>
    </row>
    <row r="63" spans="1:22" x14ac:dyDescent="0.55000000000000004">
      <c r="A63" s="18" t="s">
        <v>1565</v>
      </c>
      <c r="B63" s="18" t="s">
        <v>1566</v>
      </c>
      <c r="C63" s="18" t="s">
        <v>1567</v>
      </c>
      <c r="D63" s="18" t="s">
        <v>1568</v>
      </c>
      <c r="E63" s="18" t="s">
        <v>1569</v>
      </c>
      <c r="F63" s="18" t="s">
        <v>1570</v>
      </c>
      <c r="G63" s="18" t="s">
        <v>1571</v>
      </c>
      <c r="H63" s="18" t="s">
        <v>1572</v>
      </c>
      <c r="I63" s="18" t="s">
        <v>1573</v>
      </c>
      <c r="J63" s="18"/>
      <c r="K63" s="18"/>
      <c r="L63" s="18"/>
      <c r="M63" s="18"/>
      <c r="N63" s="18"/>
      <c r="O63" s="18"/>
      <c r="P63" s="18"/>
      <c r="Q63" s="18"/>
      <c r="R63" s="18"/>
      <c r="S63" s="18"/>
      <c r="T63" s="18"/>
      <c r="U63" s="18"/>
      <c r="V63" s="18"/>
    </row>
    <row r="64" spans="1:22" x14ac:dyDescent="0.55000000000000004">
      <c r="A64" s="18"/>
      <c r="B64" s="18"/>
      <c r="C64" s="18"/>
      <c r="D64" s="18"/>
      <c r="E64" s="18"/>
      <c r="F64" s="18"/>
      <c r="G64" s="18"/>
      <c r="H64" s="18"/>
      <c r="I64" s="18"/>
      <c r="J64" s="18"/>
      <c r="K64" s="18"/>
      <c r="L64" s="18"/>
      <c r="M64" s="18"/>
      <c r="N64" s="18"/>
      <c r="O64" s="18"/>
      <c r="P64" s="18"/>
      <c r="Q64" s="18"/>
      <c r="R64" s="18"/>
      <c r="S64" s="18"/>
      <c r="T64" s="18"/>
      <c r="U64" s="18"/>
      <c r="V64" s="18"/>
    </row>
    <row r="65" spans="1:22" x14ac:dyDescent="0.55000000000000004">
      <c r="A65" s="18" t="s">
        <v>1574</v>
      </c>
      <c r="B65" s="18" t="s">
        <v>1575</v>
      </c>
      <c r="C65" s="18" t="s">
        <v>1576</v>
      </c>
      <c r="D65" s="18" t="s">
        <v>1577</v>
      </c>
      <c r="E65" s="18" t="s">
        <v>1578</v>
      </c>
      <c r="F65" s="18" t="s">
        <v>1579</v>
      </c>
      <c r="G65" s="18" t="s">
        <v>1580</v>
      </c>
      <c r="H65" s="18" t="s">
        <v>1581</v>
      </c>
      <c r="I65" s="18" t="s">
        <v>1582</v>
      </c>
      <c r="J65" s="18" t="s">
        <v>1570</v>
      </c>
      <c r="K65" s="18" t="s">
        <v>1571</v>
      </c>
      <c r="L65" s="18" t="s">
        <v>1572</v>
      </c>
      <c r="M65" s="18" t="s">
        <v>1583</v>
      </c>
      <c r="N65" s="18"/>
      <c r="O65" s="18"/>
      <c r="P65" s="18"/>
      <c r="Q65" s="18"/>
      <c r="R65" s="18"/>
      <c r="S65" s="18"/>
      <c r="T65" s="18"/>
      <c r="U65" s="18"/>
      <c r="V65" s="18"/>
    </row>
    <row r="66" spans="1:22" x14ac:dyDescent="0.55000000000000004">
      <c r="A66" s="18"/>
      <c r="B66" s="18"/>
      <c r="C66" s="18"/>
      <c r="D66" s="18"/>
      <c r="E66" s="18"/>
      <c r="F66" s="18"/>
      <c r="G66" s="18"/>
      <c r="H66" s="18"/>
      <c r="I66" s="18"/>
      <c r="J66" s="18"/>
      <c r="K66" s="18"/>
      <c r="L66" s="18"/>
      <c r="M66" s="18"/>
      <c r="N66" s="18"/>
      <c r="O66" s="18"/>
      <c r="P66" s="18"/>
      <c r="Q66" s="18"/>
      <c r="R66" s="18"/>
      <c r="S66" s="18"/>
      <c r="T66" s="18"/>
      <c r="U66" s="18"/>
      <c r="V66" s="18"/>
    </row>
    <row r="67" spans="1:22" x14ac:dyDescent="0.55000000000000004">
      <c r="A67" s="18" t="s">
        <v>1574</v>
      </c>
      <c r="B67" s="18" t="s">
        <v>1575</v>
      </c>
      <c r="C67" s="18" t="s">
        <v>1576</v>
      </c>
      <c r="D67" s="18" t="s">
        <v>1577</v>
      </c>
      <c r="E67" s="18" t="s">
        <v>1578</v>
      </c>
      <c r="F67" s="18" t="s">
        <v>1584</v>
      </c>
      <c r="G67" s="18" t="s">
        <v>1585</v>
      </c>
      <c r="H67" s="18" t="s">
        <v>1586</v>
      </c>
      <c r="I67" s="18" t="s">
        <v>1587</v>
      </c>
      <c r="J67" s="18" t="s">
        <v>1588</v>
      </c>
      <c r="K67" s="18" t="s">
        <v>1589</v>
      </c>
      <c r="L67" s="18" t="s">
        <v>1590</v>
      </c>
      <c r="M67" s="18" t="s">
        <v>1591</v>
      </c>
      <c r="N67" s="18" t="s">
        <v>1570</v>
      </c>
      <c r="O67" s="18" t="s">
        <v>1571</v>
      </c>
      <c r="P67" s="18" t="s">
        <v>1572</v>
      </c>
      <c r="Q67" s="18" t="s">
        <v>1592</v>
      </c>
      <c r="R67" s="18"/>
      <c r="S67" s="18"/>
      <c r="T67" s="18"/>
      <c r="U67" s="18"/>
      <c r="V67" s="18"/>
    </row>
    <row r="68" spans="1:22" x14ac:dyDescent="0.55000000000000004">
      <c r="A68" s="18"/>
      <c r="B68" s="18"/>
      <c r="C68" s="18"/>
      <c r="D68" s="18"/>
      <c r="E68" s="18"/>
      <c r="F68" s="18"/>
      <c r="G68" s="18"/>
      <c r="H68" s="18"/>
      <c r="I68" s="18"/>
      <c r="J68" s="18"/>
      <c r="K68" s="18"/>
      <c r="L68" s="18"/>
      <c r="M68" s="18"/>
      <c r="N68" s="18"/>
      <c r="O68" s="18"/>
      <c r="P68" s="18"/>
      <c r="Q68" s="18"/>
      <c r="R68" s="18"/>
      <c r="S68" s="18"/>
      <c r="T68" s="18"/>
      <c r="U68" s="18"/>
      <c r="V68" s="18"/>
    </row>
    <row r="69" spans="1:22" x14ac:dyDescent="0.55000000000000004">
      <c r="A69" s="18"/>
      <c r="B69" s="18"/>
      <c r="C69" s="18"/>
      <c r="D69" s="18"/>
      <c r="E69" s="18"/>
      <c r="F69" s="18"/>
      <c r="G69" s="18"/>
      <c r="H69" s="18"/>
      <c r="I69" s="18"/>
      <c r="J69" s="18"/>
      <c r="K69" s="18"/>
      <c r="L69" s="18"/>
      <c r="M69" s="18"/>
      <c r="N69" s="18"/>
      <c r="O69" s="18"/>
      <c r="P69" s="18"/>
      <c r="Q69" s="18"/>
      <c r="R69" s="18"/>
      <c r="S69" s="18"/>
      <c r="T69" s="18"/>
      <c r="U69" s="18"/>
      <c r="V69" s="18"/>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49530</xdr:rowOff>
                  </from>
                  <to>
                    <xdr:col>25</xdr:col>
                    <xdr:colOff>361950</xdr:colOff>
                    <xdr:row>7</xdr:row>
                    <xdr:rowOff>68580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dimension ref="A1:J39"/>
  <sheetViews>
    <sheetView workbookViewId="0">
      <selection activeCell="O58" sqref="O58"/>
    </sheetView>
  </sheetViews>
  <sheetFormatPr defaultRowHeight="14.4" x14ac:dyDescent="0.55000000000000004"/>
  <cols>
    <col min="1" max="1" width="61.734375" bestFit="1" customWidth="1"/>
  </cols>
  <sheetData>
    <row r="1" spans="1:10" x14ac:dyDescent="0.55000000000000004">
      <c r="A1" s="85"/>
      <c r="B1" s="84"/>
      <c r="C1" s="84"/>
      <c r="D1" s="84"/>
      <c r="F1" t="s">
        <v>1613</v>
      </c>
    </row>
    <row r="2" spans="1:10" x14ac:dyDescent="0.55000000000000004">
      <c r="A2" s="83" t="s">
        <v>1626</v>
      </c>
      <c r="B2" s="84" t="s">
        <v>75</v>
      </c>
      <c r="C2" s="84" t="s">
        <v>76</v>
      </c>
      <c r="D2" s="84" t="s">
        <v>77</v>
      </c>
      <c r="F2" s="78" t="s">
        <v>1612</v>
      </c>
    </row>
    <row r="3" spans="1:10" x14ac:dyDescent="0.55000000000000004">
      <c r="A3" s="83" t="s">
        <v>1627</v>
      </c>
      <c r="B3" s="7"/>
      <c r="C3" s="7"/>
      <c r="D3" s="7"/>
    </row>
    <row r="4" spans="1:10" x14ac:dyDescent="0.55000000000000004">
      <c r="A4" s="83" t="s">
        <v>1628</v>
      </c>
      <c r="B4" s="7"/>
      <c r="C4" s="7"/>
      <c r="D4" s="7"/>
    </row>
    <row r="5" spans="1:10" x14ac:dyDescent="0.55000000000000004">
      <c r="A5" s="83" t="s">
        <v>1629</v>
      </c>
      <c r="B5" s="7"/>
      <c r="C5" s="7"/>
      <c r="D5" s="7"/>
    </row>
    <row r="6" spans="1:10" x14ac:dyDescent="0.55000000000000004">
      <c r="A6" s="83" t="s">
        <v>1630</v>
      </c>
      <c r="B6" s="7"/>
      <c r="C6" s="7"/>
      <c r="D6" s="7"/>
    </row>
    <row r="7" spans="1:10" x14ac:dyDescent="0.55000000000000004">
      <c r="A7" s="83" t="s">
        <v>1631</v>
      </c>
      <c r="B7" s="7"/>
      <c r="C7" s="7"/>
      <c r="D7" s="7"/>
    </row>
    <row r="8" spans="1:10" x14ac:dyDescent="0.55000000000000004">
      <c r="A8" s="83" t="s">
        <v>1632</v>
      </c>
      <c r="B8" s="84"/>
      <c r="C8" s="84"/>
      <c r="D8" s="84"/>
    </row>
    <row r="9" spans="1:10" x14ac:dyDescent="0.55000000000000004">
      <c r="A9" s="83" t="s">
        <v>1633</v>
      </c>
      <c r="B9" s="7"/>
      <c r="C9" s="7"/>
      <c r="D9" s="7"/>
    </row>
    <row r="10" spans="1:10" x14ac:dyDescent="0.55000000000000004">
      <c r="A10" s="83" t="s">
        <v>1634</v>
      </c>
      <c r="B10" s="7"/>
      <c r="C10" s="7"/>
      <c r="D10" s="7"/>
    </row>
    <row r="11" spans="1:10" x14ac:dyDescent="0.55000000000000004">
      <c r="A11" s="83" t="s">
        <v>1635</v>
      </c>
      <c r="B11" s="7"/>
      <c r="C11" s="7"/>
      <c r="D11" s="7"/>
    </row>
    <row r="12" spans="1:10" x14ac:dyDescent="0.55000000000000004">
      <c r="A12" s="83" t="s">
        <v>1636</v>
      </c>
      <c r="B12" s="7"/>
      <c r="C12" s="7"/>
      <c r="D12" s="7"/>
    </row>
    <row r="13" spans="1:10" x14ac:dyDescent="0.55000000000000004">
      <c r="A13" s="83" t="s">
        <v>1637</v>
      </c>
      <c r="B13" s="7"/>
      <c r="C13" s="7"/>
      <c r="D13" s="7"/>
    </row>
    <row r="14" spans="1:10" x14ac:dyDescent="0.55000000000000004">
      <c r="A14" s="83" t="s">
        <v>1638</v>
      </c>
      <c r="B14" s="7"/>
      <c r="C14" s="7"/>
      <c r="D14" s="7"/>
    </row>
    <row r="15" spans="1:10" x14ac:dyDescent="0.55000000000000004">
      <c r="A15" s="83" t="s">
        <v>1639</v>
      </c>
      <c r="B15" s="7"/>
      <c r="C15" s="7"/>
      <c r="D15" s="7"/>
      <c r="J15" s="90" t="s">
        <v>1664</v>
      </c>
    </row>
    <row r="16" spans="1:10" x14ac:dyDescent="0.55000000000000004">
      <c r="A16" s="83" t="s">
        <v>1640</v>
      </c>
      <c r="B16" s="84"/>
      <c r="C16" s="84"/>
      <c r="D16" s="84"/>
      <c r="J16" s="90" t="s">
        <v>1665</v>
      </c>
    </row>
    <row r="17" spans="1:10" x14ac:dyDescent="0.55000000000000004">
      <c r="A17" s="83" t="s">
        <v>1641</v>
      </c>
      <c r="B17" s="7"/>
      <c r="C17" s="7"/>
      <c r="D17" s="7"/>
      <c r="J17" s="90" t="s">
        <v>1666</v>
      </c>
    </row>
    <row r="18" spans="1:10" x14ac:dyDescent="0.55000000000000004">
      <c r="A18" s="83" t="s">
        <v>1642</v>
      </c>
      <c r="B18" s="7"/>
      <c r="C18" s="7"/>
      <c r="D18" s="7"/>
      <c r="J18" s="90" t="s">
        <v>1667</v>
      </c>
    </row>
    <row r="19" spans="1:10" x14ac:dyDescent="0.55000000000000004">
      <c r="A19" s="83" t="s">
        <v>1643</v>
      </c>
      <c r="B19" s="7"/>
      <c r="C19" s="7"/>
      <c r="D19" s="7"/>
      <c r="J19" s="90" t="s">
        <v>1668</v>
      </c>
    </row>
    <row r="20" spans="1:10" x14ac:dyDescent="0.55000000000000004">
      <c r="A20" s="83" t="s">
        <v>1644</v>
      </c>
      <c r="B20" s="7"/>
      <c r="C20" s="7"/>
      <c r="D20" s="7"/>
      <c r="J20" s="90" t="s">
        <v>1669</v>
      </c>
    </row>
    <row r="21" spans="1:10" x14ac:dyDescent="0.55000000000000004">
      <c r="A21" s="83" t="s">
        <v>1645</v>
      </c>
      <c r="B21" s="7"/>
      <c r="C21" s="7"/>
      <c r="D21" s="7"/>
      <c r="J21" s="90" t="s">
        <v>1670</v>
      </c>
    </row>
    <row r="22" spans="1:10" x14ac:dyDescent="0.55000000000000004">
      <c r="A22" s="83" t="s">
        <v>1646</v>
      </c>
      <c r="B22" s="7"/>
      <c r="C22" s="7"/>
      <c r="D22" s="7"/>
      <c r="J22" s="90" t="s">
        <v>1671</v>
      </c>
    </row>
    <row r="23" spans="1:10" x14ac:dyDescent="0.55000000000000004">
      <c r="A23" s="83" t="s">
        <v>1647</v>
      </c>
      <c r="B23" s="7"/>
      <c r="C23" s="7"/>
      <c r="D23" s="7"/>
      <c r="J23" s="90" t="s">
        <v>1672</v>
      </c>
    </row>
    <row r="24" spans="1:10" x14ac:dyDescent="0.55000000000000004">
      <c r="A24" s="83" t="s">
        <v>1648</v>
      </c>
      <c r="B24" s="84"/>
      <c r="C24" s="84"/>
      <c r="D24" s="84"/>
      <c r="J24" s="90" t="s">
        <v>1673</v>
      </c>
    </row>
    <row r="25" spans="1:10" x14ac:dyDescent="0.55000000000000004">
      <c r="A25" s="83" t="s">
        <v>1649</v>
      </c>
      <c r="B25" s="7"/>
      <c r="C25" s="7"/>
      <c r="D25" s="7"/>
      <c r="J25" s="90" t="s">
        <v>1674</v>
      </c>
    </row>
    <row r="26" spans="1:10" x14ac:dyDescent="0.55000000000000004">
      <c r="A26" s="83" t="s">
        <v>1650</v>
      </c>
      <c r="B26" s="7"/>
      <c r="C26" s="7"/>
      <c r="D26" s="7"/>
    </row>
    <row r="27" spans="1:10" x14ac:dyDescent="0.55000000000000004">
      <c r="A27" s="83" t="s">
        <v>1651</v>
      </c>
      <c r="B27" s="7"/>
      <c r="C27" s="7"/>
      <c r="D27" s="7"/>
    </row>
    <row r="28" spans="1:10" x14ac:dyDescent="0.55000000000000004">
      <c r="A28" s="83" t="s">
        <v>1652</v>
      </c>
      <c r="B28" s="7"/>
      <c r="C28" s="7"/>
      <c r="D28" s="7"/>
    </row>
    <row r="29" spans="1:10" x14ac:dyDescent="0.55000000000000004">
      <c r="A29" s="83" t="s">
        <v>1653</v>
      </c>
      <c r="B29" s="7"/>
      <c r="C29" s="7"/>
      <c r="D29" s="7"/>
    </row>
    <row r="30" spans="1:10" x14ac:dyDescent="0.55000000000000004">
      <c r="A30" s="83" t="s">
        <v>1654</v>
      </c>
      <c r="B30" s="7"/>
      <c r="C30" s="7"/>
      <c r="D30" s="7"/>
    </row>
    <row r="31" spans="1:10" x14ac:dyDescent="0.55000000000000004">
      <c r="A31" s="83" t="s">
        <v>1655</v>
      </c>
      <c r="B31" s="7"/>
      <c r="C31" s="7"/>
      <c r="D31" s="7"/>
    </row>
    <row r="32" spans="1:10" x14ac:dyDescent="0.55000000000000004">
      <c r="A32" s="83" t="s">
        <v>1656</v>
      </c>
      <c r="B32" s="84"/>
      <c r="C32" s="84"/>
      <c r="D32" s="84"/>
    </row>
    <row r="33" spans="1:4" x14ac:dyDescent="0.55000000000000004">
      <c r="A33" s="83" t="s">
        <v>1657</v>
      </c>
      <c r="B33" s="7"/>
      <c r="C33" s="7"/>
      <c r="D33" s="7"/>
    </row>
    <row r="34" spans="1:4" x14ac:dyDescent="0.55000000000000004">
      <c r="A34" s="83" t="s">
        <v>1658</v>
      </c>
      <c r="B34" s="7"/>
      <c r="C34" s="7"/>
      <c r="D34" s="7"/>
    </row>
    <row r="35" spans="1:4" x14ac:dyDescent="0.55000000000000004">
      <c r="A35" s="83" t="s">
        <v>1659</v>
      </c>
      <c r="B35" s="7"/>
      <c r="C35" s="7"/>
      <c r="D35" s="7"/>
    </row>
    <row r="36" spans="1:4" x14ac:dyDescent="0.55000000000000004">
      <c r="A36" s="83" t="s">
        <v>1660</v>
      </c>
      <c r="B36" s="7"/>
      <c r="C36" s="7"/>
      <c r="D36" s="7"/>
    </row>
    <row r="37" spans="1:4" x14ac:dyDescent="0.55000000000000004">
      <c r="A37" s="83" t="s">
        <v>1661</v>
      </c>
      <c r="B37" s="7"/>
      <c r="C37" s="7"/>
      <c r="D37" s="7"/>
    </row>
    <row r="38" spans="1:4" x14ac:dyDescent="0.55000000000000004">
      <c r="A38" s="83" t="s">
        <v>1662</v>
      </c>
      <c r="B38" s="7"/>
      <c r="C38" s="7"/>
      <c r="D38" s="7"/>
    </row>
    <row r="39" spans="1:4" x14ac:dyDescent="0.55000000000000004">
      <c r="A39" s="83" t="s">
        <v>1663</v>
      </c>
      <c r="B39" s="7"/>
      <c r="C39" s="7"/>
      <c r="D39" s="7"/>
    </row>
  </sheetData>
  <hyperlinks>
    <hyperlink ref="F2"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4</xdr:col>
                    <xdr:colOff>609600</xdr:colOff>
                    <xdr:row>3</xdr:row>
                    <xdr:rowOff>49530</xdr:rowOff>
                  </from>
                  <to>
                    <xdr:col>7</xdr:col>
                    <xdr:colOff>361950</xdr:colOff>
                    <xdr:row>7</xdr:row>
                    <xdr:rowOff>68580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Required Constituent Order</vt:lpstr>
      <vt:lpstr>w2_habitat.npt</vt:lpstr>
      <vt:lpstr>w2_aerate.npt</vt:lpstr>
      <vt:lpstr>w2_envirprf.npt</vt:lpstr>
      <vt:lpstr>w2_selective.npt</vt:lpstr>
      <vt:lpstr>w2_constriction.csv</vt:lpstr>
      <vt:lpstr>w2_particle.csv</vt:lpstr>
      <vt:lpstr>w2_diagenesis.npt</vt:lpstr>
      <vt:lpstr>w2_multiple_WB.npt</vt:lpstr>
      <vt:lpstr>w2_tecplotbr.csv</vt:lpstr>
      <vt:lpstr>w2_systdg.npt</vt:lpstr>
      <vt:lpstr>w2_TDGTarget.csv</vt:lpstr>
      <vt:lpstr>atm_deposition_wb1.csv</vt:lpstr>
      <vt:lpstr>w2_lake_river_contour.csv</vt:lpstr>
      <vt:lpstr>w2_AlgaeMigration.csv</vt:lpstr>
      <vt:lpstr>w2_Algae_Toxin.csv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2021-07-20T00:11:26Z</dcterms:modified>
</cp:coreProperties>
</file>